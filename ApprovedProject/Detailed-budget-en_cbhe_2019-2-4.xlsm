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workbookPassword="E359" lockStructure="1"/>
  <bookViews>
    <workbookView xWindow="2730" yWindow="1740" windowWidth="19440" windowHeight="10740" tabRatio="684"/>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Rule'!$B$8:$B$184</definedName>
    <definedName name="CountryEligEquip">'Unit Costs &amp; Funding Rule'!$B$42:$B$184</definedName>
    <definedName name="CountryType">'Unit Costs &amp; Funding Rule'!$B$8:$C$184</definedName>
    <definedName name="EUCountry">'Unit Costs &amp; Funding Rule'!$B$8:$B$41</definedName>
    <definedName name="Exceptional_costs">'Unit Costs &amp; Funding Rule'!$P$21:$P$21</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PartnerN°">Overview!$B$27:$B$81</definedName>
    <definedName name="PartnerN°Ref">Overview!$B$27:$E$81</definedName>
    <definedName name="Rates">'Unit Costs &amp; Funding Rule'!$D$8:$G$184</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Stay'!$145:$1048576,' 2-3-6. Travel&amp;Costs of Stay'!#REF!</definedName>
    <definedName name="Z_D7932BCF_3472_4742_BE90_75070A4D3346_.wvu.Rows" localSheetId="2" hidden="1">'1. Staff costs'!$67:$1048576,'1. Staff costs'!#REF!</definedName>
    <definedName name="Z_D7932BCF_3472_4742_BE90_75070A4D3346_.wvu.Rows" localSheetId="4" hidden="1">'4. Equipment Costs'!$22:$1048576,'4. Equipment Costs'!#REF!</definedName>
    <definedName name="Z_D7932BCF_3472_4742_BE90_75070A4D3346_.wvu.Rows" localSheetId="5" hidden="1">'5. Subcontracting Costs'!$16:$1048576,'5.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'Co-financing'!$57:$1048576,'Co-financing'!#REF!</definedName>
    <definedName name="_xlnm.Print_Area" localSheetId="3">' 2-3-6. Travel&amp;Costs of Stay'!$A$1:$S$145</definedName>
    <definedName name="_xlnm.Print_Area" localSheetId="2">'1. Staff costs'!$A$1:$U$67</definedName>
    <definedName name="_xlnm.Print_Area" localSheetId="4">'4. Equipment Costs'!$A$1:$J$22</definedName>
    <definedName name="_xlnm.Print_Area" localSheetId="5">'5. Subcontracting Costs'!$A$1:$J$16</definedName>
    <definedName name="_xlnm.Print_Area" localSheetId="7">'Breakdown &amp; Project Funding'!$A$1:$J$78</definedName>
    <definedName name="_xlnm.Print_Area" localSheetId="6">'Co-financing'!$A$1:$K$61</definedName>
    <definedName name="_xlnm.Print_Area" localSheetId="0">Overview!$A$1:$M$82</definedName>
    <definedName name="_xlnm.Print_Area" localSheetId="1">'Sheet Validation'!$A$1:$B$7</definedName>
    <definedName name="_xlnm.Print_Area" localSheetId="8">'Unit Costs &amp; Funding Rule'!$B$1:$U$187</definedName>
  </definedNames>
  <calcPr calcId="145621"/>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D53" i="71" l="1"/>
  <c r="C53" i="71"/>
  <c r="J53" i="71" s="1"/>
  <c r="I53" i="71" s="1"/>
  <c r="D52" i="71"/>
  <c r="C52" i="71"/>
  <c r="J52" i="71" s="1"/>
  <c r="I52" i="71" s="1"/>
  <c r="D50" i="71"/>
  <c r="C50" i="71"/>
  <c r="J50" i="71" s="1"/>
  <c r="I50" i="71" s="1"/>
  <c r="D47" i="71"/>
  <c r="C47" i="71"/>
  <c r="J47" i="71" s="1"/>
  <c r="I47" i="71" s="1"/>
  <c r="D44" i="71"/>
  <c r="C44" i="71"/>
  <c r="D41" i="71"/>
  <c r="C41" i="71"/>
  <c r="J41" i="71" s="1"/>
  <c r="I41" i="71" s="1"/>
  <c r="D38" i="71"/>
  <c r="C38" i="71"/>
  <c r="J38" i="71" s="1"/>
  <c r="I38" i="71" s="1"/>
  <c r="D56" i="71"/>
  <c r="C56" i="71"/>
  <c r="J56" i="71" s="1"/>
  <c r="I56" i="71" s="1"/>
  <c r="D55" i="71"/>
  <c r="C55" i="71"/>
  <c r="J55" i="71" s="1"/>
  <c r="I55" i="71" s="1"/>
  <c r="D54" i="71"/>
  <c r="C54" i="71"/>
  <c r="J54" i="71" s="1"/>
  <c r="I54" i="71" s="1"/>
  <c r="D51" i="71"/>
  <c r="C51" i="71"/>
  <c r="J51" i="71" s="1"/>
  <c r="I51" i="71" s="1"/>
  <c r="D49" i="71"/>
  <c r="C49" i="71"/>
  <c r="J49" i="71" s="1"/>
  <c r="I49" i="71" s="1"/>
  <c r="D48" i="71"/>
  <c r="C48" i="71"/>
  <c r="J48" i="71" s="1"/>
  <c r="I48" i="71" s="1"/>
  <c r="D46" i="71"/>
  <c r="C46" i="71"/>
  <c r="J46" i="71" s="1"/>
  <c r="I46" i="71" s="1"/>
  <c r="D45" i="71"/>
  <c r="C45" i="71"/>
  <c r="J45" i="71" s="1"/>
  <c r="I45" i="71" s="1"/>
  <c r="D43" i="71"/>
  <c r="C43" i="71"/>
  <c r="D42" i="71"/>
  <c r="C42" i="71"/>
  <c r="J42" i="71" s="1"/>
  <c r="I42" i="71" s="1"/>
  <c r="D40" i="71"/>
  <c r="C40" i="71"/>
  <c r="J40" i="71" s="1"/>
  <c r="I40" i="71" s="1"/>
  <c r="D39" i="71"/>
  <c r="C39" i="71"/>
  <c r="D37" i="71"/>
  <c r="C37" i="71"/>
  <c r="J37" i="71" s="1"/>
  <c r="I37" i="71" s="1"/>
  <c r="D36" i="71"/>
  <c r="C36" i="71"/>
  <c r="J36" i="71" s="1"/>
  <c r="I36" i="71" s="1"/>
  <c r="D35" i="71"/>
  <c r="C35" i="71"/>
  <c r="D34" i="71"/>
  <c r="C34" i="71"/>
  <c r="J34" i="71" s="1"/>
  <c r="I34" i="71" s="1"/>
  <c r="D33" i="71"/>
  <c r="C33" i="71"/>
  <c r="J33" i="71" s="1"/>
  <c r="I33" i="71" s="1"/>
  <c r="D32" i="71"/>
  <c r="C32" i="71"/>
  <c r="J32" i="71" s="1"/>
  <c r="I32" i="71" s="1"/>
  <c r="D31" i="71"/>
  <c r="C31" i="71"/>
  <c r="J31" i="71" s="1"/>
  <c r="I31" i="71" s="1"/>
  <c r="D30" i="71"/>
  <c r="C30" i="71"/>
  <c r="J30" i="71" s="1"/>
  <c r="I30" i="71" s="1"/>
  <c r="D29" i="71"/>
  <c r="C29" i="71"/>
  <c r="J29" i="71" s="1"/>
  <c r="I29" i="71" s="1"/>
  <c r="D28" i="71"/>
  <c r="C28" i="71"/>
  <c r="J28" i="71" s="1"/>
  <c r="I28" i="71" s="1"/>
  <c r="D27" i="71"/>
  <c r="C27" i="71"/>
  <c r="J27" i="71" s="1"/>
  <c r="I27" i="71" s="1"/>
  <c r="D26" i="71"/>
  <c r="C26" i="71"/>
  <c r="J26" i="71" s="1"/>
  <c r="I26" i="71" s="1"/>
  <c r="D25" i="71"/>
  <c r="C25" i="71"/>
  <c r="J25" i="71" s="1"/>
  <c r="I25" i="71" s="1"/>
  <c r="D24" i="71"/>
  <c r="C24" i="71"/>
  <c r="D23" i="71"/>
  <c r="C23" i="71"/>
  <c r="J23" i="71" s="1"/>
  <c r="I23" i="71" s="1"/>
  <c r="D22" i="71"/>
  <c r="C22" i="71"/>
  <c r="J22" i="71" s="1"/>
  <c r="I22" i="71" s="1"/>
  <c r="D21" i="71"/>
  <c r="C21" i="71"/>
  <c r="J21" i="71" s="1"/>
  <c r="I21" i="71" s="1"/>
  <c r="D20" i="71"/>
  <c r="C20" i="71"/>
  <c r="J20" i="71" s="1"/>
  <c r="I20" i="71" s="1"/>
  <c r="N144" i="39"/>
  <c r="E144" i="39"/>
  <c r="D144" i="39"/>
  <c r="N143" i="39"/>
  <c r="E143" i="39"/>
  <c r="D143" i="39"/>
  <c r="N142" i="39"/>
  <c r="E142" i="39"/>
  <c r="D142" i="39"/>
  <c r="N141" i="39"/>
  <c r="E141" i="39"/>
  <c r="D141" i="39"/>
  <c r="N125" i="39"/>
  <c r="E125" i="39"/>
  <c r="D125" i="39"/>
  <c r="N139" i="39"/>
  <c r="E139" i="39"/>
  <c r="D139" i="39"/>
  <c r="N138" i="39"/>
  <c r="E138" i="39"/>
  <c r="D138" i="39"/>
  <c r="N137" i="39"/>
  <c r="E137" i="39"/>
  <c r="D137" i="39"/>
  <c r="N136" i="39"/>
  <c r="E136" i="39"/>
  <c r="D136" i="39"/>
  <c r="N135" i="39"/>
  <c r="E135" i="39"/>
  <c r="D135" i="39"/>
  <c r="N134" i="39"/>
  <c r="E134" i="39"/>
  <c r="D134" i="39"/>
  <c r="N133" i="39"/>
  <c r="E133" i="39"/>
  <c r="D133" i="39"/>
  <c r="N132" i="39"/>
  <c r="E132" i="39"/>
  <c r="D132" i="39"/>
  <c r="N131" i="39"/>
  <c r="E131" i="39"/>
  <c r="D131" i="39"/>
  <c r="N130" i="39"/>
  <c r="E130" i="39"/>
  <c r="D130" i="39"/>
  <c r="N129" i="39"/>
  <c r="E129" i="39"/>
  <c r="D129" i="39"/>
  <c r="N128" i="39"/>
  <c r="E128" i="39"/>
  <c r="D128" i="39"/>
  <c r="N127" i="39"/>
  <c r="E127" i="39"/>
  <c r="D127" i="39"/>
  <c r="N140" i="39"/>
  <c r="E140" i="39"/>
  <c r="D140" i="39"/>
  <c r="N126" i="39"/>
  <c r="E126" i="39"/>
  <c r="D126" i="39"/>
  <c r="N124" i="39"/>
  <c r="E124" i="39"/>
  <c r="D124" i="39"/>
  <c r="N105" i="39"/>
  <c r="E105" i="39"/>
  <c r="D105" i="39"/>
  <c r="N123" i="39"/>
  <c r="E123" i="39"/>
  <c r="D123" i="39"/>
  <c r="N122" i="39"/>
  <c r="E122" i="39"/>
  <c r="D122" i="39"/>
  <c r="N121" i="39"/>
  <c r="E121" i="39"/>
  <c r="D121" i="39"/>
  <c r="N120" i="39"/>
  <c r="E120" i="39"/>
  <c r="D120" i="39"/>
  <c r="N119" i="39"/>
  <c r="E119" i="39"/>
  <c r="D119" i="39"/>
  <c r="N118" i="39"/>
  <c r="E118" i="39"/>
  <c r="D118" i="39"/>
  <c r="N117" i="39"/>
  <c r="E117" i="39"/>
  <c r="D117" i="39"/>
  <c r="N116" i="39"/>
  <c r="E116" i="39"/>
  <c r="D116" i="39"/>
  <c r="N115" i="39"/>
  <c r="E115" i="39"/>
  <c r="D115" i="39"/>
  <c r="N114" i="39"/>
  <c r="E114" i="39"/>
  <c r="D114" i="39"/>
  <c r="N113" i="39"/>
  <c r="E113" i="39"/>
  <c r="D113" i="39"/>
  <c r="N112" i="39"/>
  <c r="E112" i="39"/>
  <c r="D112" i="39"/>
  <c r="N111" i="39"/>
  <c r="E111" i="39"/>
  <c r="D111" i="39"/>
  <c r="N110" i="39"/>
  <c r="E110" i="39"/>
  <c r="D110" i="39"/>
  <c r="N109" i="39"/>
  <c r="E109" i="39"/>
  <c r="D109" i="39"/>
  <c r="N108" i="39"/>
  <c r="E108" i="39"/>
  <c r="D108" i="39"/>
  <c r="N107" i="39"/>
  <c r="E107" i="39"/>
  <c r="D107" i="39"/>
  <c r="N106" i="39"/>
  <c r="E106" i="39"/>
  <c r="D106" i="39"/>
  <c r="N104" i="39"/>
  <c r="E104" i="39"/>
  <c r="D104" i="39"/>
  <c r="N103" i="39"/>
  <c r="E103" i="39"/>
  <c r="D103" i="39"/>
  <c r="N102" i="39"/>
  <c r="E102" i="39"/>
  <c r="D102" i="39"/>
  <c r="N101" i="39"/>
  <c r="E101" i="39"/>
  <c r="D101" i="39"/>
  <c r="N100" i="39"/>
  <c r="E100" i="39"/>
  <c r="D100" i="39"/>
  <c r="N99" i="39"/>
  <c r="E99" i="39"/>
  <c r="D99" i="39"/>
  <c r="N98" i="39"/>
  <c r="E98" i="39"/>
  <c r="D98" i="39"/>
  <c r="N97" i="39"/>
  <c r="E97" i="39"/>
  <c r="D97" i="39"/>
  <c r="N96" i="39"/>
  <c r="E96" i="39"/>
  <c r="D96" i="39"/>
  <c r="N95" i="39"/>
  <c r="E95" i="39"/>
  <c r="D95" i="39"/>
  <c r="N94" i="39"/>
  <c r="E94" i="39"/>
  <c r="D94" i="39"/>
  <c r="N93" i="39"/>
  <c r="E93" i="39"/>
  <c r="D93" i="39"/>
  <c r="N92" i="39"/>
  <c r="E92" i="39"/>
  <c r="D92" i="39"/>
  <c r="N91" i="39"/>
  <c r="E91" i="39"/>
  <c r="D91" i="39"/>
  <c r="N90" i="39"/>
  <c r="E90" i="39"/>
  <c r="D90" i="39"/>
  <c r="N89" i="39"/>
  <c r="E89" i="39"/>
  <c r="D89" i="39"/>
  <c r="N88" i="39"/>
  <c r="E88" i="39"/>
  <c r="D88" i="39"/>
  <c r="N87" i="39"/>
  <c r="E87" i="39"/>
  <c r="D87" i="39"/>
  <c r="N86" i="39"/>
  <c r="E86" i="39"/>
  <c r="D86" i="39"/>
  <c r="N85" i="39"/>
  <c r="E85" i="39"/>
  <c r="D85" i="39"/>
  <c r="N84" i="39"/>
  <c r="E84" i="39"/>
  <c r="D84" i="39"/>
  <c r="N83" i="39"/>
  <c r="E83" i="39"/>
  <c r="D83" i="39"/>
  <c r="N82" i="39"/>
  <c r="E82" i="39"/>
  <c r="D82" i="39"/>
  <c r="N81" i="39"/>
  <c r="E81" i="39"/>
  <c r="D81" i="39"/>
  <c r="N80" i="39"/>
  <c r="E80" i="39"/>
  <c r="D80" i="39"/>
  <c r="N79" i="39"/>
  <c r="E79" i="39"/>
  <c r="D79" i="39"/>
  <c r="N78" i="39"/>
  <c r="E78" i="39"/>
  <c r="D78" i="39"/>
  <c r="N77" i="39"/>
  <c r="E77" i="39"/>
  <c r="D77" i="39"/>
  <c r="N76" i="39"/>
  <c r="E76" i="39"/>
  <c r="D76" i="39"/>
  <c r="N75" i="39"/>
  <c r="E75" i="39"/>
  <c r="D75" i="39"/>
  <c r="N74" i="39"/>
  <c r="E74" i="39"/>
  <c r="D74" i="39"/>
  <c r="N73" i="39"/>
  <c r="E73" i="39"/>
  <c r="D73" i="39"/>
  <c r="N72" i="39"/>
  <c r="E72" i="39"/>
  <c r="D72" i="39"/>
  <c r="N71" i="39"/>
  <c r="E71" i="39"/>
  <c r="D71" i="39"/>
  <c r="N70" i="39"/>
  <c r="E70" i="39"/>
  <c r="D70" i="39"/>
  <c r="N69" i="39"/>
  <c r="E69" i="39"/>
  <c r="D69" i="39"/>
  <c r="N68" i="39"/>
  <c r="E68" i="39"/>
  <c r="D68" i="39"/>
  <c r="N67" i="39"/>
  <c r="E67" i="39"/>
  <c r="D67" i="39"/>
  <c r="N66" i="39"/>
  <c r="E66" i="39"/>
  <c r="D66" i="39"/>
  <c r="N65" i="39"/>
  <c r="E65" i="39"/>
  <c r="D65" i="39"/>
  <c r="N64" i="39"/>
  <c r="E64" i="39"/>
  <c r="D64" i="39"/>
  <c r="N63" i="39"/>
  <c r="E63" i="39"/>
  <c r="D63" i="39"/>
  <c r="N62" i="39"/>
  <c r="E62" i="39"/>
  <c r="D62" i="39"/>
  <c r="N61" i="39"/>
  <c r="E61" i="39"/>
  <c r="D61" i="39"/>
  <c r="N60" i="39"/>
  <c r="E60" i="39"/>
  <c r="D60" i="39"/>
  <c r="N59" i="39"/>
  <c r="E59" i="39"/>
  <c r="D59" i="39"/>
  <c r="N58" i="39"/>
  <c r="E58" i="39"/>
  <c r="D58" i="39"/>
  <c r="N57" i="39"/>
  <c r="E57" i="39"/>
  <c r="D57" i="39"/>
  <c r="N56" i="39"/>
  <c r="E56" i="39"/>
  <c r="D56" i="39"/>
  <c r="N49" i="39"/>
  <c r="E49" i="39"/>
  <c r="D49" i="39"/>
  <c r="N48" i="39"/>
  <c r="E48" i="39"/>
  <c r="D48" i="39"/>
  <c r="N45" i="39"/>
  <c r="E45" i="39"/>
  <c r="D45" i="39"/>
  <c r="N44" i="39"/>
  <c r="E44" i="39"/>
  <c r="D44" i="39"/>
  <c r="N29" i="39"/>
  <c r="E29" i="39"/>
  <c r="D29" i="39"/>
  <c r="N28" i="39"/>
  <c r="E28" i="39"/>
  <c r="D28" i="39"/>
  <c r="N31" i="39"/>
  <c r="E31" i="39"/>
  <c r="D31" i="39"/>
  <c r="N30" i="39"/>
  <c r="E30" i="39"/>
  <c r="D30" i="39"/>
  <c r="N21" i="39"/>
  <c r="E21" i="39"/>
  <c r="D21" i="39"/>
  <c r="N20" i="39"/>
  <c r="E20" i="39"/>
  <c r="D20" i="39"/>
  <c r="N25" i="39"/>
  <c r="E25" i="39"/>
  <c r="D25" i="39"/>
  <c r="N24" i="39"/>
  <c r="E24" i="39"/>
  <c r="D24" i="39"/>
  <c r="N41" i="39"/>
  <c r="E41" i="39"/>
  <c r="D41" i="39"/>
  <c r="N40" i="39"/>
  <c r="E40" i="39"/>
  <c r="D40" i="39"/>
  <c r="N37" i="39"/>
  <c r="E37" i="39"/>
  <c r="D37" i="39"/>
  <c r="N36" i="39"/>
  <c r="E36" i="39"/>
  <c r="D36" i="39"/>
  <c r="N55" i="39"/>
  <c r="E55" i="39"/>
  <c r="D55" i="39"/>
  <c r="N54" i="39"/>
  <c r="E54" i="39"/>
  <c r="D54" i="39"/>
  <c r="N53" i="39"/>
  <c r="E53" i="39"/>
  <c r="D53" i="39"/>
  <c r="N52" i="39"/>
  <c r="E52" i="39"/>
  <c r="D52" i="39"/>
  <c r="N51" i="39"/>
  <c r="E51" i="39"/>
  <c r="D51" i="39"/>
  <c r="N50" i="39"/>
  <c r="E50" i="39"/>
  <c r="D50" i="39"/>
  <c r="N47" i="39"/>
  <c r="E47" i="39"/>
  <c r="D47" i="39"/>
  <c r="J44" i="71" l="1"/>
  <c r="I44" i="71" s="1"/>
  <c r="J39" i="71"/>
  <c r="I39" i="71" s="1"/>
  <c r="J24" i="71"/>
  <c r="I24" i="71" s="1"/>
  <c r="J43" i="71"/>
  <c r="I43" i="71" s="1"/>
  <c r="J35" i="71"/>
  <c r="I35" i="71" s="1"/>
  <c r="R131" i="39"/>
  <c r="O131" i="39" s="1"/>
  <c r="R135" i="39"/>
  <c r="P135" i="39" s="1"/>
  <c r="R136" i="39"/>
  <c r="O136" i="39" s="1"/>
  <c r="R141" i="39"/>
  <c r="O141" i="39" s="1"/>
  <c r="R132" i="39"/>
  <c r="P132" i="39" s="1"/>
  <c r="R144" i="39"/>
  <c r="P144" i="39" s="1"/>
  <c r="R139" i="39"/>
  <c r="O139" i="39" s="1"/>
  <c r="R143" i="39"/>
  <c r="P143" i="39" s="1"/>
  <c r="R142" i="39"/>
  <c r="P142" i="39" s="1"/>
  <c r="R129" i="39"/>
  <c r="P129" i="39" s="1"/>
  <c r="R133" i="39"/>
  <c r="P133" i="39" s="1"/>
  <c r="R137" i="39"/>
  <c r="P137" i="39" s="1"/>
  <c r="R126" i="39"/>
  <c r="P126" i="39" s="1"/>
  <c r="R128" i="39"/>
  <c r="O128" i="39" s="1"/>
  <c r="R125" i="39"/>
  <c r="O125" i="39" s="1"/>
  <c r="R127" i="39"/>
  <c r="P127" i="39" s="1"/>
  <c r="R130" i="39"/>
  <c r="O130" i="39" s="1"/>
  <c r="R138" i="39"/>
  <c r="O138" i="39" s="1"/>
  <c r="P136" i="39"/>
  <c r="O135" i="39"/>
  <c r="R134" i="39"/>
  <c r="O134" i="39" s="1"/>
  <c r="P131" i="39"/>
  <c r="R116" i="39"/>
  <c r="P116" i="39" s="1"/>
  <c r="R120" i="39"/>
  <c r="P120" i="39" s="1"/>
  <c r="R105" i="39"/>
  <c r="P105" i="39" s="1"/>
  <c r="R119" i="39"/>
  <c r="P119" i="39" s="1"/>
  <c r="R123" i="39"/>
  <c r="P123" i="39" s="1"/>
  <c r="R140" i="39"/>
  <c r="P140" i="39" s="1"/>
  <c r="R90" i="39"/>
  <c r="O90" i="39" s="1"/>
  <c r="R94" i="39"/>
  <c r="O94" i="39" s="1"/>
  <c r="R98" i="39"/>
  <c r="P98" i="39" s="1"/>
  <c r="R99" i="39"/>
  <c r="P99" i="39" s="1"/>
  <c r="R104" i="39"/>
  <c r="O104" i="39" s="1"/>
  <c r="R109" i="39"/>
  <c r="P109" i="39" s="1"/>
  <c r="R113" i="39"/>
  <c r="P113" i="39" s="1"/>
  <c r="R124" i="39"/>
  <c r="P124" i="39" s="1"/>
  <c r="R106" i="39"/>
  <c r="O106" i="39" s="1"/>
  <c r="R110" i="39"/>
  <c r="P110" i="39" s="1"/>
  <c r="R114" i="39"/>
  <c r="P114" i="39" s="1"/>
  <c r="R117" i="39"/>
  <c r="O117" i="39" s="1"/>
  <c r="R121" i="39"/>
  <c r="P121" i="39" s="1"/>
  <c r="R103" i="39"/>
  <c r="P103" i="39" s="1"/>
  <c r="R107" i="39"/>
  <c r="P107" i="39" s="1"/>
  <c r="R115" i="39"/>
  <c r="P115" i="39" s="1"/>
  <c r="R118" i="39"/>
  <c r="O118" i="39" s="1"/>
  <c r="R122" i="39"/>
  <c r="O122" i="39" s="1"/>
  <c r="R108" i="39"/>
  <c r="P108" i="39" s="1"/>
  <c r="R112" i="39"/>
  <c r="P112" i="39" s="1"/>
  <c r="R111" i="39"/>
  <c r="P111" i="39" s="1"/>
  <c r="R102" i="39"/>
  <c r="P102" i="39" s="1"/>
  <c r="R100" i="39"/>
  <c r="P100" i="39" s="1"/>
  <c r="R101" i="39"/>
  <c r="P101" i="39" s="1"/>
  <c r="R92" i="39"/>
  <c r="P92" i="39" s="1"/>
  <c r="R41" i="39"/>
  <c r="P41" i="39" s="1"/>
  <c r="R21" i="39"/>
  <c r="P21" i="39" s="1"/>
  <c r="R29" i="39"/>
  <c r="P29" i="39" s="1"/>
  <c r="R49" i="39"/>
  <c r="P49" i="39" s="1"/>
  <c r="R59" i="39"/>
  <c r="P59" i="39" s="1"/>
  <c r="R63" i="39"/>
  <c r="P63" i="39" s="1"/>
  <c r="R83" i="39"/>
  <c r="P83" i="39" s="1"/>
  <c r="R87" i="39"/>
  <c r="O87" i="39" s="1"/>
  <c r="R88" i="39"/>
  <c r="P88" i="39" s="1"/>
  <c r="R95" i="39"/>
  <c r="P95" i="39" s="1"/>
  <c r="R96" i="39"/>
  <c r="P96" i="39" s="1"/>
  <c r="R69" i="39"/>
  <c r="P69" i="39" s="1"/>
  <c r="R93" i="39"/>
  <c r="P93" i="39" s="1"/>
  <c r="R97" i="39"/>
  <c r="O97" i="39" s="1"/>
  <c r="R57" i="39"/>
  <c r="P57" i="39" s="1"/>
  <c r="R73" i="39"/>
  <c r="P73" i="39" s="1"/>
  <c r="R77" i="39"/>
  <c r="P77" i="39" s="1"/>
  <c r="R81" i="39"/>
  <c r="P81" i="39" s="1"/>
  <c r="R89" i="39"/>
  <c r="O89" i="39" s="1"/>
  <c r="R52" i="39"/>
  <c r="P52" i="39" s="1"/>
  <c r="R36" i="39"/>
  <c r="O36" i="39" s="1"/>
  <c r="R24" i="39"/>
  <c r="P24" i="39" s="1"/>
  <c r="R30" i="39"/>
  <c r="P30" i="39" s="1"/>
  <c r="R44" i="39"/>
  <c r="P44" i="39" s="1"/>
  <c r="R56" i="39"/>
  <c r="P56" i="39" s="1"/>
  <c r="R91" i="39"/>
  <c r="P91" i="39" s="1"/>
  <c r="R58" i="39"/>
  <c r="P58" i="39" s="1"/>
  <c r="R62" i="39"/>
  <c r="P62" i="39" s="1"/>
  <c r="R66" i="39"/>
  <c r="P66" i="39" s="1"/>
  <c r="R70" i="39"/>
  <c r="O70" i="39" s="1"/>
  <c r="R74" i="39"/>
  <c r="P74" i="39" s="1"/>
  <c r="R78" i="39"/>
  <c r="P78" i="39" s="1"/>
  <c r="R86" i="39"/>
  <c r="P86" i="39" s="1"/>
  <c r="R85" i="39"/>
  <c r="P85" i="39" s="1"/>
  <c r="R84" i="39"/>
  <c r="O84" i="39" s="1"/>
  <c r="R82" i="39"/>
  <c r="P82" i="39" s="1"/>
  <c r="R71" i="39"/>
  <c r="P71" i="39" s="1"/>
  <c r="R75" i="39"/>
  <c r="P75" i="39" s="1"/>
  <c r="R79" i="39"/>
  <c r="P79" i="39" s="1"/>
  <c r="R72" i="39"/>
  <c r="P72" i="39" s="1"/>
  <c r="R76" i="39"/>
  <c r="O76" i="39" s="1"/>
  <c r="R80" i="39"/>
  <c r="P80" i="39" s="1"/>
  <c r="R67" i="39"/>
  <c r="P67" i="39" s="1"/>
  <c r="R61" i="39"/>
  <c r="P61" i="39" s="1"/>
  <c r="R60" i="39"/>
  <c r="P60" i="39" s="1"/>
  <c r="R64" i="39"/>
  <c r="P64" i="39" s="1"/>
  <c r="R68" i="39"/>
  <c r="P68" i="39" s="1"/>
  <c r="R65" i="39"/>
  <c r="P65" i="39" s="1"/>
  <c r="R20" i="39"/>
  <c r="P20" i="39" s="1"/>
  <c r="R28" i="39"/>
  <c r="P28" i="39" s="1"/>
  <c r="R48" i="39"/>
  <c r="P48" i="39" s="1"/>
  <c r="R40" i="39"/>
  <c r="P40" i="39" s="1"/>
  <c r="R47" i="39"/>
  <c r="P47" i="39" s="1"/>
  <c r="R53" i="39"/>
  <c r="P53" i="39" s="1"/>
  <c r="R37" i="39"/>
  <c r="P37" i="39" s="1"/>
  <c r="R25" i="39"/>
  <c r="P25" i="39" s="1"/>
  <c r="R31" i="39"/>
  <c r="P31" i="39" s="1"/>
  <c r="R45" i="39"/>
  <c r="P45" i="39" s="1"/>
  <c r="R50" i="39"/>
  <c r="P50" i="39" s="1"/>
  <c r="R54" i="39"/>
  <c r="P54" i="39" s="1"/>
  <c r="R51" i="39"/>
  <c r="P51" i="39" s="1"/>
  <c r="R55" i="39"/>
  <c r="P55" i="39" s="1"/>
  <c r="N46" i="39"/>
  <c r="E46" i="39"/>
  <c r="D46" i="39"/>
  <c r="N43" i="39"/>
  <c r="E43" i="39"/>
  <c r="D43" i="39"/>
  <c r="N42" i="39"/>
  <c r="E42" i="39"/>
  <c r="D42" i="39"/>
  <c r="N39" i="39"/>
  <c r="E39" i="39"/>
  <c r="D39" i="39"/>
  <c r="N38" i="39"/>
  <c r="E38" i="39"/>
  <c r="D38" i="39"/>
  <c r="N35" i="39"/>
  <c r="E35" i="39"/>
  <c r="D35" i="39"/>
  <c r="N34" i="39"/>
  <c r="E34" i="39"/>
  <c r="D34" i="39"/>
  <c r="N33" i="39"/>
  <c r="E33" i="39"/>
  <c r="D33" i="39"/>
  <c r="N32" i="39"/>
  <c r="E32" i="39"/>
  <c r="D32" i="39"/>
  <c r="N27" i="39"/>
  <c r="E27" i="39"/>
  <c r="D27" i="39"/>
  <c r="N26" i="39"/>
  <c r="E26" i="39"/>
  <c r="D26" i="39"/>
  <c r="N23" i="39"/>
  <c r="E23" i="39"/>
  <c r="D23" i="39"/>
  <c r="N22" i="39"/>
  <c r="E22" i="39"/>
  <c r="D22" i="39"/>
  <c r="N19" i="39"/>
  <c r="E19" i="39"/>
  <c r="D19" i="39"/>
  <c r="N18" i="39"/>
  <c r="E18" i="39"/>
  <c r="D18" i="39"/>
  <c r="N17" i="39"/>
  <c r="E17" i="39"/>
  <c r="D17" i="39"/>
  <c r="N16" i="39"/>
  <c r="E16" i="39"/>
  <c r="D16" i="39"/>
  <c r="N15" i="39"/>
  <c r="E15" i="39"/>
  <c r="D15" i="39"/>
  <c r="E66" i="40"/>
  <c r="D66" i="40"/>
  <c r="T66" i="40" s="1"/>
  <c r="E65" i="40"/>
  <c r="D65" i="40"/>
  <c r="T65" i="40" s="1"/>
  <c r="E64" i="40"/>
  <c r="D64" i="40"/>
  <c r="T64" i="40" s="1"/>
  <c r="E63" i="40"/>
  <c r="D63" i="40"/>
  <c r="T63" i="40" s="1"/>
  <c r="E62" i="40"/>
  <c r="D62" i="40"/>
  <c r="T62" i="40" s="1"/>
  <c r="E61" i="40"/>
  <c r="D61" i="40"/>
  <c r="T61" i="40" s="1"/>
  <c r="E60" i="40"/>
  <c r="D60" i="40"/>
  <c r="T60" i="40" s="1"/>
  <c r="E59" i="40"/>
  <c r="D59" i="40"/>
  <c r="T59" i="40" s="1"/>
  <c r="E58" i="40"/>
  <c r="D58" i="40"/>
  <c r="T58" i="40" s="1"/>
  <c r="E57" i="40"/>
  <c r="D57" i="40"/>
  <c r="T57" i="40" s="1"/>
  <c r="E56" i="40"/>
  <c r="D56" i="40"/>
  <c r="T56" i="40" s="1"/>
  <c r="E55" i="40"/>
  <c r="D55" i="40"/>
  <c r="T55" i="40" s="1"/>
  <c r="E54" i="40"/>
  <c r="D54" i="40"/>
  <c r="T54" i="40" s="1"/>
  <c r="E53" i="40"/>
  <c r="D53" i="40"/>
  <c r="T53" i="40" s="1"/>
  <c r="E52" i="40"/>
  <c r="D52" i="40"/>
  <c r="T52" i="40" s="1"/>
  <c r="E51" i="40"/>
  <c r="D51" i="40"/>
  <c r="T51" i="40" s="1"/>
  <c r="E50" i="40"/>
  <c r="D50" i="40"/>
  <c r="T50" i="40" s="1"/>
  <c r="E49" i="40"/>
  <c r="D49" i="40"/>
  <c r="T49" i="40" s="1"/>
  <c r="E48" i="40"/>
  <c r="D48" i="40"/>
  <c r="T48" i="40" s="1"/>
  <c r="E47" i="40"/>
  <c r="D47" i="40"/>
  <c r="T47" i="40" s="1"/>
  <c r="E46" i="40"/>
  <c r="D46" i="40"/>
  <c r="T46" i="40" s="1"/>
  <c r="E45" i="40"/>
  <c r="D45" i="40"/>
  <c r="T45" i="40" s="1"/>
  <c r="E44" i="40"/>
  <c r="D44" i="40"/>
  <c r="T44" i="40" s="1"/>
  <c r="E43" i="40"/>
  <c r="D43" i="40"/>
  <c r="T43" i="40" s="1"/>
  <c r="E42" i="40"/>
  <c r="D42" i="40"/>
  <c r="T42" i="40" s="1"/>
  <c r="E41" i="40"/>
  <c r="D41" i="40"/>
  <c r="T41" i="40" s="1"/>
  <c r="E40" i="40"/>
  <c r="D40" i="40"/>
  <c r="T40" i="40" s="1"/>
  <c r="E39" i="40"/>
  <c r="D39" i="40"/>
  <c r="T39" i="40" s="1"/>
  <c r="E38" i="40"/>
  <c r="D38" i="40"/>
  <c r="T38" i="40" s="1"/>
  <c r="E37" i="40"/>
  <c r="D37" i="40"/>
  <c r="T37" i="40" s="1"/>
  <c r="E36" i="40"/>
  <c r="D36" i="40"/>
  <c r="T36" i="40" s="1"/>
  <c r="E35" i="40"/>
  <c r="D35" i="40"/>
  <c r="T35" i="40" s="1"/>
  <c r="E34" i="40"/>
  <c r="D34" i="40"/>
  <c r="T34" i="40" s="1"/>
  <c r="E15" i="70"/>
  <c r="D15" i="70"/>
  <c r="I15" i="70" s="1"/>
  <c r="H15" i="70" s="1"/>
  <c r="E21" i="26"/>
  <c r="D21" i="26"/>
  <c r="I21" i="26" s="1"/>
  <c r="H21" i="26" s="1"/>
  <c r="E20" i="26"/>
  <c r="D20" i="26"/>
  <c r="I20" i="26" s="1"/>
  <c r="H20" i="26" s="1"/>
  <c r="E19" i="26"/>
  <c r="D19" i="26"/>
  <c r="I19" i="26" s="1"/>
  <c r="H19" i="26" s="1"/>
  <c r="E18" i="26"/>
  <c r="D18" i="26"/>
  <c r="E17" i="26"/>
  <c r="D17" i="26"/>
  <c r="I17" i="26" s="1"/>
  <c r="H17" i="26" s="1"/>
  <c r="E16" i="26"/>
  <c r="D16" i="26"/>
  <c r="E15" i="26"/>
  <c r="D15" i="26"/>
  <c r="I15" i="26" s="1"/>
  <c r="H15" i="26" s="1"/>
  <c r="D19" i="71"/>
  <c r="C19" i="71"/>
  <c r="D18" i="71"/>
  <c r="C18" i="71"/>
  <c r="D17" i="71"/>
  <c r="C17" i="71"/>
  <c r="D16" i="71"/>
  <c r="C16" i="71"/>
  <c r="D15" i="71"/>
  <c r="C15" i="71"/>
  <c r="E33" i="40"/>
  <c r="D33" i="40"/>
  <c r="T33" i="40" s="1"/>
  <c r="E32" i="40"/>
  <c r="D32" i="40"/>
  <c r="T32" i="40" s="1"/>
  <c r="E31" i="40"/>
  <c r="D31" i="40"/>
  <c r="T31" i="40" s="1"/>
  <c r="E30" i="40"/>
  <c r="D30" i="40"/>
  <c r="T30" i="40" s="1"/>
  <c r="E29" i="40"/>
  <c r="D29" i="40"/>
  <c r="T29" i="40" s="1"/>
  <c r="E28" i="40"/>
  <c r="D28" i="40"/>
  <c r="T28" i="40" s="1"/>
  <c r="E27" i="40"/>
  <c r="D27" i="40"/>
  <c r="T27" i="40" s="1"/>
  <c r="E26" i="40"/>
  <c r="D26" i="40"/>
  <c r="T26" i="40" s="1"/>
  <c r="E25" i="40"/>
  <c r="D25" i="40"/>
  <c r="T25" i="40" s="1"/>
  <c r="E24" i="40"/>
  <c r="D24" i="40"/>
  <c r="T24" i="40" s="1"/>
  <c r="E23" i="40"/>
  <c r="D23" i="40"/>
  <c r="T23" i="40" s="1"/>
  <c r="E22" i="40"/>
  <c r="D22" i="40"/>
  <c r="T22" i="40" s="1"/>
  <c r="E21" i="40"/>
  <c r="D21" i="40"/>
  <c r="T21" i="40" s="1"/>
  <c r="E20" i="40"/>
  <c r="D20" i="40"/>
  <c r="T20" i="40" s="1"/>
  <c r="E19" i="40"/>
  <c r="D19" i="40"/>
  <c r="T19" i="40" s="1"/>
  <c r="E18" i="40"/>
  <c r="D18" i="40"/>
  <c r="T18" i="40" s="1"/>
  <c r="E17" i="40"/>
  <c r="D17" i="40"/>
  <c r="T17" i="40" s="1"/>
  <c r="E16" i="40"/>
  <c r="D16" i="40"/>
  <c r="T16" i="40" s="1"/>
  <c r="E15" i="40"/>
  <c r="D15" i="40"/>
  <c r="T15" i="40" s="1"/>
  <c r="J16" i="71" l="1"/>
  <c r="I16" i="71" s="1"/>
  <c r="J18" i="71"/>
  <c r="I18" i="71" s="1"/>
  <c r="J15" i="71"/>
  <c r="I15" i="71" s="1"/>
  <c r="J17" i="71"/>
  <c r="I17" i="71" s="1"/>
  <c r="J19" i="71"/>
  <c r="I19" i="71" s="1"/>
  <c r="P141" i="39"/>
  <c r="O132" i="39"/>
  <c r="Q132" i="39" s="1"/>
  <c r="O144" i="39"/>
  <c r="Q144" i="39" s="1"/>
  <c r="O142" i="39"/>
  <c r="Q142" i="39" s="1"/>
  <c r="P139" i="39"/>
  <c r="Q139" i="39" s="1"/>
  <c r="O113" i="39"/>
  <c r="Q113" i="39" s="1"/>
  <c r="O105" i="39"/>
  <c r="Q105" i="39" s="1"/>
  <c r="O110" i="39"/>
  <c r="Q110" i="39" s="1"/>
  <c r="O99" i="39"/>
  <c r="Q99" i="39" s="1"/>
  <c r="P90" i="39"/>
  <c r="Q90" i="39" s="1"/>
  <c r="P87" i="39"/>
  <c r="Q87" i="39" s="1"/>
  <c r="O69" i="39"/>
  <c r="Q69" i="39" s="1"/>
  <c r="O59" i="39"/>
  <c r="Q59" i="39" s="1"/>
  <c r="O58" i="39"/>
  <c r="Q58" i="39" s="1"/>
  <c r="O143" i="39"/>
  <c r="Q143" i="39" s="1"/>
  <c r="Q141" i="39"/>
  <c r="P138" i="39"/>
  <c r="Q138" i="39" s="1"/>
  <c r="O137" i="39"/>
  <c r="Q137" i="39" s="1"/>
  <c r="O129" i="39"/>
  <c r="Q129" i="39" s="1"/>
  <c r="P128" i="39"/>
  <c r="Q128" i="39" s="1"/>
  <c r="O127" i="39"/>
  <c r="Q127" i="39" s="1"/>
  <c r="O109" i="39"/>
  <c r="Q109" i="39" s="1"/>
  <c r="O57" i="39"/>
  <c r="Q57" i="39" s="1"/>
  <c r="P94" i="39"/>
  <c r="Q94" i="39" s="1"/>
  <c r="O140" i="39"/>
  <c r="Q140" i="39" s="1"/>
  <c r="P130" i="39"/>
  <c r="Q130" i="39" s="1"/>
  <c r="P125" i="39"/>
  <c r="Q125" i="39" s="1"/>
  <c r="O133" i="39"/>
  <c r="Q133" i="39" s="1"/>
  <c r="O126" i="39"/>
  <c r="Q126" i="39" s="1"/>
  <c r="Q136" i="39"/>
  <c r="Q135" i="39"/>
  <c r="P134" i="39"/>
  <c r="Q134" i="39" s="1"/>
  <c r="Q131" i="39"/>
  <c r="O116" i="39"/>
  <c r="Q116" i="39" s="1"/>
  <c r="O41" i="39"/>
  <c r="Q41" i="39" s="1"/>
  <c r="O103" i="39"/>
  <c r="Q103" i="39" s="1"/>
  <c r="O49" i="39"/>
  <c r="Q49" i="39" s="1"/>
  <c r="O77" i="39"/>
  <c r="Q77" i="39" s="1"/>
  <c r="O107" i="39"/>
  <c r="Q107" i="39" s="1"/>
  <c r="P104" i="39"/>
  <c r="Q104" i="39" s="1"/>
  <c r="O98" i="39"/>
  <c r="Q98" i="39" s="1"/>
  <c r="O120" i="39"/>
  <c r="Q120" i="39" s="1"/>
  <c r="O119" i="39"/>
  <c r="Q119" i="39" s="1"/>
  <c r="P106" i="39"/>
  <c r="Q106" i="39" s="1"/>
  <c r="O63" i="39"/>
  <c r="Q63" i="39" s="1"/>
  <c r="O114" i="39"/>
  <c r="Q114" i="39" s="1"/>
  <c r="O123" i="39"/>
  <c r="Q123" i="39" s="1"/>
  <c r="O124" i="39"/>
  <c r="Q124" i="39" s="1"/>
  <c r="P122" i="39"/>
  <c r="Q122" i="39" s="1"/>
  <c r="O121" i="39"/>
  <c r="Q121" i="39" s="1"/>
  <c r="P118" i="39"/>
  <c r="Q118" i="39" s="1"/>
  <c r="P117" i="39"/>
  <c r="Q117" i="39" s="1"/>
  <c r="O115" i="39"/>
  <c r="Q115" i="39" s="1"/>
  <c r="O111" i="39"/>
  <c r="Q111" i="39" s="1"/>
  <c r="O112" i="39"/>
  <c r="Q112" i="39" s="1"/>
  <c r="P36" i="39"/>
  <c r="Q36" i="39" s="1"/>
  <c r="O66" i="39"/>
  <c r="Q66" i="39" s="1"/>
  <c r="O86" i="39"/>
  <c r="Q86" i="39" s="1"/>
  <c r="O108" i="39"/>
  <c r="Q108" i="39" s="1"/>
  <c r="O31" i="39"/>
  <c r="Q31" i="39" s="1"/>
  <c r="R43" i="39"/>
  <c r="O43" i="39" s="1"/>
  <c r="O20" i="39"/>
  <c r="Q20" i="39" s="1"/>
  <c r="O102" i="39"/>
  <c r="Q102" i="39" s="1"/>
  <c r="O100" i="39"/>
  <c r="Q100" i="39" s="1"/>
  <c r="O101" i="39"/>
  <c r="Q101" i="39" s="1"/>
  <c r="P97" i="39"/>
  <c r="Q97" i="39" s="1"/>
  <c r="O88" i="39"/>
  <c r="Q88" i="39" s="1"/>
  <c r="O78" i="39"/>
  <c r="Q78" i="39" s="1"/>
  <c r="P70" i="39"/>
  <c r="Q70" i="39" s="1"/>
  <c r="O95" i="39"/>
  <c r="Q95" i="39" s="1"/>
  <c r="O93" i="39"/>
  <c r="Q93" i="39" s="1"/>
  <c r="O92" i="39"/>
  <c r="Q92" i="39" s="1"/>
  <c r="O83" i="39"/>
  <c r="Q83" i="39" s="1"/>
  <c r="O52" i="39"/>
  <c r="Q52" i="39" s="1"/>
  <c r="O21" i="39"/>
  <c r="Q21" i="39" s="1"/>
  <c r="O44" i="39"/>
  <c r="Q44" i="39" s="1"/>
  <c r="O74" i="39"/>
  <c r="Q74" i="39" s="1"/>
  <c r="O96" i="39"/>
  <c r="Q96" i="39" s="1"/>
  <c r="O29" i="39"/>
  <c r="Q29" i="39" s="1"/>
  <c r="O73" i="39"/>
  <c r="Q73" i="39" s="1"/>
  <c r="O30" i="39"/>
  <c r="Q30" i="39" s="1"/>
  <c r="O62" i="39"/>
  <c r="Q62" i="39" s="1"/>
  <c r="P89" i="39"/>
  <c r="Q89" i="39" s="1"/>
  <c r="O91" i="39"/>
  <c r="Q91" i="39" s="1"/>
  <c r="O24" i="39"/>
  <c r="Q24" i="39" s="1"/>
  <c r="O81" i="39"/>
  <c r="Q81" i="39" s="1"/>
  <c r="O28" i="39"/>
  <c r="Q28" i="39" s="1"/>
  <c r="O56" i="39"/>
  <c r="Q56" i="39" s="1"/>
  <c r="P84" i="39"/>
  <c r="Q84" i="39" s="1"/>
  <c r="O85" i="39"/>
  <c r="Q85" i="39" s="1"/>
  <c r="O82" i="39"/>
  <c r="Q82" i="39" s="1"/>
  <c r="P76" i="39"/>
  <c r="Q76" i="39" s="1"/>
  <c r="O72" i="39"/>
  <c r="Q72" i="39" s="1"/>
  <c r="O71" i="39"/>
  <c r="Q71" i="39" s="1"/>
  <c r="O79" i="39"/>
  <c r="Q79" i="39" s="1"/>
  <c r="O75" i="39"/>
  <c r="Q75" i="39" s="1"/>
  <c r="O80" i="39"/>
  <c r="Q80" i="39" s="1"/>
  <c r="O68" i="39"/>
  <c r="Q68" i="39" s="1"/>
  <c r="O64" i="39"/>
  <c r="Q64" i="39" s="1"/>
  <c r="O61" i="39"/>
  <c r="Q61" i="39" s="1"/>
  <c r="O67" i="39"/>
  <c r="Q67" i="39" s="1"/>
  <c r="O60" i="39"/>
  <c r="Q60" i="39" s="1"/>
  <c r="O65" i="39"/>
  <c r="Q65" i="39" s="1"/>
  <c r="O55" i="39"/>
  <c r="Q55" i="39" s="1"/>
  <c r="O53" i="39"/>
  <c r="Q53" i="39" s="1"/>
  <c r="O47" i="39"/>
  <c r="Q47" i="39" s="1"/>
  <c r="O37" i="39"/>
  <c r="Q37" i="39" s="1"/>
  <c r="O48" i="39"/>
  <c r="Q48" i="39" s="1"/>
  <c r="O45" i="39"/>
  <c r="Q45" i="39" s="1"/>
  <c r="O25" i="39"/>
  <c r="Q25" i="39" s="1"/>
  <c r="R34" i="39"/>
  <c r="O34" i="39" s="1"/>
  <c r="R42" i="39"/>
  <c r="P42" i="39" s="1"/>
  <c r="O40" i="39"/>
  <c r="Q40" i="39" s="1"/>
  <c r="R26" i="39"/>
  <c r="P26" i="39" s="1"/>
  <c r="O50" i="39"/>
  <c r="Q50" i="39" s="1"/>
  <c r="O51" i="39"/>
  <c r="Q51" i="39" s="1"/>
  <c r="O54" i="39"/>
  <c r="Q54" i="39" s="1"/>
  <c r="R46" i="39"/>
  <c r="P46" i="39" s="1"/>
  <c r="R39" i="39"/>
  <c r="P39" i="39" s="1"/>
  <c r="R38" i="39"/>
  <c r="O38" i="39" s="1"/>
  <c r="R35" i="39"/>
  <c r="O35" i="39" s="1"/>
  <c r="R33" i="39"/>
  <c r="P33" i="39" s="1"/>
  <c r="R16" i="39"/>
  <c r="O16" i="39" s="1"/>
  <c r="R32" i="39"/>
  <c r="P32" i="39" s="1"/>
  <c r="R27" i="39"/>
  <c r="P27" i="39" s="1"/>
  <c r="R23" i="39"/>
  <c r="P23" i="39" s="1"/>
  <c r="R22" i="39"/>
  <c r="P22" i="39" s="1"/>
  <c r="R19" i="39"/>
  <c r="P19" i="39" s="1"/>
  <c r="R18" i="39"/>
  <c r="O18" i="39" s="1"/>
  <c r="R17" i="39"/>
  <c r="O17" i="39" s="1"/>
  <c r="R15" i="39"/>
  <c r="P15" i="39" s="1"/>
  <c r="R66" i="40"/>
  <c r="R65" i="40"/>
  <c r="R64" i="40"/>
  <c r="R63" i="40"/>
  <c r="R62" i="40"/>
  <c r="R61" i="40"/>
  <c r="R60" i="40"/>
  <c r="R59" i="40"/>
  <c r="R58" i="40"/>
  <c r="R57" i="40"/>
  <c r="R56" i="40"/>
  <c r="R55" i="40"/>
  <c r="R54" i="40"/>
  <c r="R53" i="40"/>
  <c r="R52" i="40"/>
  <c r="R51" i="40"/>
  <c r="R50" i="40"/>
  <c r="R49" i="40"/>
  <c r="R48" i="40"/>
  <c r="R47" i="40"/>
  <c r="R46" i="40"/>
  <c r="R45" i="40"/>
  <c r="R44" i="40"/>
  <c r="R43" i="40"/>
  <c r="R42" i="40"/>
  <c r="R41" i="40"/>
  <c r="R40" i="40"/>
  <c r="R39" i="40"/>
  <c r="R38" i="40"/>
  <c r="R37" i="40"/>
  <c r="R36" i="40"/>
  <c r="R35" i="40"/>
  <c r="R34" i="40"/>
  <c r="I18" i="26"/>
  <c r="H18" i="26" s="1"/>
  <c r="I16" i="26"/>
  <c r="H16" i="26" s="1"/>
  <c r="R33" i="40"/>
  <c r="R32" i="40"/>
  <c r="R31" i="40"/>
  <c r="R30" i="40"/>
  <c r="R29" i="40"/>
  <c r="R28" i="40"/>
  <c r="R27" i="40"/>
  <c r="R26" i="40"/>
  <c r="R25" i="40"/>
  <c r="R24" i="40"/>
  <c r="R23" i="40"/>
  <c r="R22" i="40"/>
  <c r="R21" i="40"/>
  <c r="R20" i="40"/>
  <c r="R19" i="40"/>
  <c r="R18" i="40"/>
  <c r="R17" i="40"/>
  <c r="R16" i="40"/>
  <c r="R15" i="40"/>
  <c r="N13" i="39"/>
  <c r="N14" i="39"/>
  <c r="P43" i="39" l="1"/>
  <c r="Q43" i="39" s="1"/>
  <c r="O26" i="39"/>
  <c r="Q26" i="39" s="1"/>
  <c r="O42" i="39"/>
  <c r="P34" i="39"/>
  <c r="Q34" i="39" s="1"/>
  <c r="O46" i="39"/>
  <c r="Q46" i="39" s="1"/>
  <c r="O39" i="39"/>
  <c r="Q39" i="39" s="1"/>
  <c r="P16" i="39"/>
  <c r="Q16" i="39" s="1"/>
  <c r="P35" i="39"/>
  <c r="Q35" i="39" s="1"/>
  <c r="P38" i="39"/>
  <c r="Q38" i="39" s="1"/>
  <c r="Q42" i="39"/>
  <c r="O33" i="39"/>
  <c r="Q33" i="39" s="1"/>
  <c r="O32" i="39"/>
  <c r="Q32" i="39" s="1"/>
  <c r="O27" i="39"/>
  <c r="Q27" i="39" s="1"/>
  <c r="O23" i="39"/>
  <c r="Q23" i="39" s="1"/>
  <c r="O22" i="39"/>
  <c r="Q22" i="39" s="1"/>
  <c r="O19" i="39"/>
  <c r="Q19" i="39" s="1"/>
  <c r="P18" i="39"/>
  <c r="Q18" i="39" s="1"/>
  <c r="P17" i="39"/>
  <c r="Q17" i="39" s="1"/>
  <c r="O15" i="39"/>
  <c r="Q15" i="39" s="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2" i="41"/>
  <c r="G34"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35" i="41" l="1"/>
  <c r="G29" i="41"/>
  <c r="G31" i="41"/>
  <c r="G33" i="41"/>
  <c r="G28" i="41"/>
  <c r="E21" i="41"/>
  <c r="E20" i="41"/>
  <c r="E17" i="41"/>
  <c r="B6" i="55" l="1"/>
  <c r="H6" i="55" s="1"/>
  <c r="B7" i="55"/>
  <c r="H7" i="55" s="1"/>
  <c r="B8" i="55"/>
  <c r="H8" i="55" s="1"/>
  <c r="B9" i="55"/>
  <c r="H9" i="55" s="1"/>
  <c r="B5" i="55"/>
  <c r="G21" i="55"/>
  <c r="F21" i="55"/>
  <c r="E21" i="55"/>
  <c r="D21" i="55"/>
  <c r="C21" i="55"/>
  <c r="O11" i="40" l="1"/>
  <c r="L11" i="40"/>
  <c r="I11" i="40"/>
  <c r="F11" i="40"/>
  <c r="M66" i="40" l="1"/>
  <c r="N66" i="40" s="1"/>
  <c r="M64" i="40"/>
  <c r="N64" i="40" s="1"/>
  <c r="M63" i="40"/>
  <c r="N63" i="40" s="1"/>
  <c r="M56" i="40"/>
  <c r="N56" i="40" s="1"/>
  <c r="M65" i="40"/>
  <c r="N65" i="40" s="1"/>
  <c r="M61" i="40"/>
  <c r="N61" i="40" s="1"/>
  <c r="M58" i="40"/>
  <c r="N58" i="40" s="1"/>
  <c r="M57" i="40"/>
  <c r="N57" i="40" s="1"/>
  <c r="M62" i="40"/>
  <c r="N62" i="40" s="1"/>
  <c r="M60" i="40"/>
  <c r="N60" i="40" s="1"/>
  <c r="M59" i="40"/>
  <c r="N59" i="40" s="1"/>
  <c r="P62" i="40"/>
  <c r="Q62" i="40" s="1"/>
  <c r="P57" i="40"/>
  <c r="Q57" i="40" s="1"/>
  <c r="P66" i="40"/>
  <c r="Q66" i="40" s="1"/>
  <c r="P61" i="40"/>
  <c r="Q61" i="40" s="1"/>
  <c r="P63" i="40"/>
  <c r="Q63" i="40" s="1"/>
  <c r="P59" i="40"/>
  <c r="Q59" i="40" s="1"/>
  <c r="P56" i="40"/>
  <c r="Q56" i="40" s="1"/>
  <c r="P65" i="40"/>
  <c r="Q65" i="40" s="1"/>
  <c r="P58" i="40"/>
  <c r="Q58" i="40" s="1"/>
  <c r="P60" i="40"/>
  <c r="Q60" i="40" s="1"/>
  <c r="P64" i="40"/>
  <c r="Q64" i="40" s="1"/>
  <c r="G62" i="40"/>
  <c r="H62" i="40" s="1"/>
  <c r="G60" i="40"/>
  <c r="H60" i="40" s="1"/>
  <c r="G64" i="40"/>
  <c r="H64" i="40" s="1"/>
  <c r="G63" i="40"/>
  <c r="H63" i="40" s="1"/>
  <c r="G59" i="40"/>
  <c r="H59" i="40" s="1"/>
  <c r="G56" i="40"/>
  <c r="H56" i="40" s="1"/>
  <c r="S56" i="40" s="1"/>
  <c r="G65" i="40"/>
  <c r="H65" i="40" s="1"/>
  <c r="G61" i="40"/>
  <c r="H61" i="40" s="1"/>
  <c r="G58" i="40"/>
  <c r="H58" i="40" s="1"/>
  <c r="G57" i="40"/>
  <c r="H57" i="40" s="1"/>
  <c r="S57" i="40" s="1"/>
  <c r="G66" i="40"/>
  <c r="H66" i="40" s="1"/>
  <c r="J65" i="40"/>
  <c r="K65" i="40" s="1"/>
  <c r="J57" i="40"/>
  <c r="K57" i="40" s="1"/>
  <c r="J66" i="40"/>
  <c r="K66" i="40" s="1"/>
  <c r="J64" i="40"/>
  <c r="K64" i="40" s="1"/>
  <c r="J61" i="40"/>
  <c r="K61" i="40" s="1"/>
  <c r="S61" i="40" s="1"/>
  <c r="J63" i="40"/>
  <c r="K63" i="40" s="1"/>
  <c r="J59" i="40"/>
  <c r="K59" i="40" s="1"/>
  <c r="J56" i="40"/>
  <c r="K56" i="40" s="1"/>
  <c r="J58" i="40"/>
  <c r="K58" i="40" s="1"/>
  <c r="J62" i="40"/>
  <c r="K62" i="40" s="1"/>
  <c r="J60" i="40"/>
  <c r="K60" i="40" s="1"/>
  <c r="M45" i="40"/>
  <c r="N45" i="40" s="1"/>
  <c r="M54" i="40"/>
  <c r="N54" i="40" s="1"/>
  <c r="M51" i="40"/>
  <c r="N51" i="40" s="1"/>
  <c r="M55" i="40"/>
  <c r="N55" i="40" s="1"/>
  <c r="M53" i="40"/>
  <c r="N53" i="40" s="1"/>
  <c r="M50" i="40"/>
  <c r="N50" i="40" s="1"/>
  <c r="M47" i="40"/>
  <c r="N47" i="40" s="1"/>
  <c r="M48" i="40"/>
  <c r="N48" i="40" s="1"/>
  <c r="M52" i="40"/>
  <c r="N52" i="40" s="1"/>
  <c r="M49" i="40"/>
  <c r="N49" i="40" s="1"/>
  <c r="M46" i="40"/>
  <c r="N46" i="40" s="1"/>
  <c r="P45" i="40"/>
  <c r="Q45" i="40" s="1"/>
  <c r="P48" i="40"/>
  <c r="Q48" i="40" s="1"/>
  <c r="P54" i="40"/>
  <c r="Q54" i="40" s="1"/>
  <c r="P51" i="40"/>
  <c r="Q51" i="40" s="1"/>
  <c r="P49" i="40"/>
  <c r="Q49" i="40" s="1"/>
  <c r="P53" i="40"/>
  <c r="Q53" i="40" s="1"/>
  <c r="P50" i="40"/>
  <c r="Q50" i="40" s="1"/>
  <c r="P47" i="40"/>
  <c r="Q47" i="40" s="1"/>
  <c r="P55" i="40"/>
  <c r="Q55" i="40" s="1"/>
  <c r="P52" i="40"/>
  <c r="Q52" i="40" s="1"/>
  <c r="P46" i="40"/>
  <c r="Q46" i="40" s="1"/>
  <c r="G45" i="40"/>
  <c r="H45" i="40" s="1"/>
  <c r="G48" i="40"/>
  <c r="H48" i="40" s="1"/>
  <c r="G54" i="40"/>
  <c r="H54" i="40" s="1"/>
  <c r="G51" i="40"/>
  <c r="H51" i="40" s="1"/>
  <c r="S51" i="40" s="1"/>
  <c r="G46" i="40"/>
  <c r="H46" i="40" s="1"/>
  <c r="G55" i="40"/>
  <c r="H55" i="40" s="1"/>
  <c r="G53" i="40"/>
  <c r="H53" i="40" s="1"/>
  <c r="G50" i="40"/>
  <c r="H50" i="40" s="1"/>
  <c r="G47" i="40"/>
  <c r="H47" i="40" s="1"/>
  <c r="G52" i="40"/>
  <c r="H52" i="40" s="1"/>
  <c r="G49" i="40"/>
  <c r="H49" i="40" s="1"/>
  <c r="J45" i="40"/>
  <c r="K45" i="40" s="1"/>
  <c r="J55" i="40"/>
  <c r="K55" i="40" s="1"/>
  <c r="J52" i="40"/>
  <c r="K52" i="40" s="1"/>
  <c r="J49" i="40"/>
  <c r="K49" i="40" s="1"/>
  <c r="J46" i="40"/>
  <c r="K46" i="40" s="1"/>
  <c r="J48" i="40"/>
  <c r="K48" i="40" s="1"/>
  <c r="J54" i="40"/>
  <c r="K54" i="40" s="1"/>
  <c r="J51" i="40"/>
  <c r="K51" i="40" s="1"/>
  <c r="J53" i="40"/>
  <c r="K53" i="40" s="1"/>
  <c r="J50" i="40"/>
  <c r="K50" i="40" s="1"/>
  <c r="J47" i="40"/>
  <c r="K47" i="40" s="1"/>
  <c r="J43" i="40"/>
  <c r="K43" i="40" s="1"/>
  <c r="J44" i="40"/>
  <c r="K44" i="40" s="1"/>
  <c r="M43" i="40"/>
  <c r="N43" i="40" s="1"/>
  <c r="M44" i="40"/>
  <c r="N44" i="40" s="1"/>
  <c r="P43" i="40"/>
  <c r="Q43" i="40" s="1"/>
  <c r="P44" i="40"/>
  <c r="Q44" i="40" s="1"/>
  <c r="G43" i="40"/>
  <c r="H43" i="40" s="1"/>
  <c r="G44" i="40"/>
  <c r="H44" i="40" s="1"/>
  <c r="J41" i="40"/>
  <c r="K41" i="40" s="1"/>
  <c r="J42" i="40"/>
  <c r="K42" i="40" s="1"/>
  <c r="M41" i="40"/>
  <c r="N41" i="40" s="1"/>
  <c r="M42" i="40"/>
  <c r="N42" i="40" s="1"/>
  <c r="P41" i="40"/>
  <c r="Q41" i="40" s="1"/>
  <c r="P42" i="40"/>
  <c r="Q42" i="40" s="1"/>
  <c r="G41" i="40"/>
  <c r="H41" i="40" s="1"/>
  <c r="G42" i="40"/>
  <c r="H42" i="40" s="1"/>
  <c r="M39" i="40"/>
  <c r="N39" i="40" s="1"/>
  <c r="M40" i="40"/>
  <c r="N40" i="40" s="1"/>
  <c r="P39" i="40"/>
  <c r="Q39" i="40" s="1"/>
  <c r="P40" i="40"/>
  <c r="Q40" i="40" s="1"/>
  <c r="G39" i="40"/>
  <c r="H39" i="40" s="1"/>
  <c r="G40" i="40"/>
  <c r="H40" i="40" s="1"/>
  <c r="J39" i="40"/>
  <c r="K39" i="40" s="1"/>
  <c r="J40" i="40"/>
  <c r="K40" i="40" s="1"/>
  <c r="M37" i="40"/>
  <c r="N37" i="40" s="1"/>
  <c r="M38" i="40"/>
  <c r="N38" i="40" s="1"/>
  <c r="P37" i="40"/>
  <c r="Q37" i="40" s="1"/>
  <c r="P38" i="40"/>
  <c r="Q38" i="40" s="1"/>
  <c r="G37" i="40"/>
  <c r="H37" i="40" s="1"/>
  <c r="G38" i="40"/>
  <c r="H38" i="40" s="1"/>
  <c r="J37" i="40"/>
  <c r="K37" i="40" s="1"/>
  <c r="J38" i="40"/>
  <c r="K38" i="40" s="1"/>
  <c r="M35" i="40"/>
  <c r="N35" i="40" s="1"/>
  <c r="M36" i="40"/>
  <c r="N36" i="40" s="1"/>
  <c r="P35" i="40"/>
  <c r="Q35" i="40" s="1"/>
  <c r="P36" i="40"/>
  <c r="Q36" i="40" s="1"/>
  <c r="G35" i="40"/>
  <c r="H35" i="40" s="1"/>
  <c r="G36" i="40"/>
  <c r="H36" i="40" s="1"/>
  <c r="J35" i="40"/>
  <c r="K35" i="40" s="1"/>
  <c r="J36" i="40"/>
  <c r="K36" i="40" s="1"/>
  <c r="M33" i="40"/>
  <c r="N33" i="40" s="1"/>
  <c r="M34" i="40"/>
  <c r="N34" i="40" s="1"/>
  <c r="P33" i="40"/>
  <c r="Q33" i="40" s="1"/>
  <c r="P34" i="40"/>
  <c r="Q34" i="40" s="1"/>
  <c r="G33" i="40"/>
  <c r="H33" i="40" s="1"/>
  <c r="G34" i="40"/>
  <c r="H34" i="40" s="1"/>
  <c r="J33" i="40"/>
  <c r="K33" i="40" s="1"/>
  <c r="J34" i="40"/>
  <c r="K34" i="40" s="1"/>
  <c r="J31" i="40"/>
  <c r="K31" i="40" s="1"/>
  <c r="J32" i="40"/>
  <c r="K32" i="40" s="1"/>
  <c r="G31" i="40"/>
  <c r="H31" i="40" s="1"/>
  <c r="G32" i="40"/>
  <c r="H32" i="40" s="1"/>
  <c r="M31" i="40"/>
  <c r="N31" i="40" s="1"/>
  <c r="M32" i="40"/>
  <c r="N32" i="40" s="1"/>
  <c r="P31" i="40"/>
  <c r="Q31" i="40" s="1"/>
  <c r="P32" i="40"/>
  <c r="Q32" i="40" s="1"/>
  <c r="M29" i="40"/>
  <c r="N29" i="40" s="1"/>
  <c r="M30" i="40"/>
  <c r="N30" i="40" s="1"/>
  <c r="P29" i="40"/>
  <c r="Q29" i="40" s="1"/>
  <c r="P30" i="40"/>
  <c r="Q30" i="40" s="1"/>
  <c r="G29" i="40"/>
  <c r="H29" i="40" s="1"/>
  <c r="G30" i="40"/>
  <c r="H30" i="40" s="1"/>
  <c r="J29" i="40"/>
  <c r="K29" i="40" s="1"/>
  <c r="J30" i="40"/>
  <c r="K30" i="40" s="1"/>
  <c r="J27" i="40"/>
  <c r="K27" i="40" s="1"/>
  <c r="J28" i="40"/>
  <c r="K28" i="40" s="1"/>
  <c r="G27" i="40"/>
  <c r="H27" i="40" s="1"/>
  <c r="G28" i="40"/>
  <c r="H28" i="40" s="1"/>
  <c r="M27" i="40"/>
  <c r="N27" i="40" s="1"/>
  <c r="M28" i="40"/>
  <c r="N28" i="40" s="1"/>
  <c r="P27" i="40"/>
  <c r="Q27" i="40" s="1"/>
  <c r="P28" i="40"/>
  <c r="Q28" i="40" s="1"/>
  <c r="G25" i="40"/>
  <c r="H25" i="40" s="1"/>
  <c r="G26" i="40"/>
  <c r="H26" i="40" s="1"/>
  <c r="J25" i="40"/>
  <c r="K25" i="40" s="1"/>
  <c r="J26" i="40"/>
  <c r="K26" i="40" s="1"/>
  <c r="M25" i="40"/>
  <c r="N25" i="40" s="1"/>
  <c r="M26" i="40"/>
  <c r="N26" i="40" s="1"/>
  <c r="P25" i="40"/>
  <c r="Q25" i="40" s="1"/>
  <c r="P26" i="40"/>
  <c r="Q26" i="40" s="1"/>
  <c r="J23" i="40"/>
  <c r="K23" i="40" s="1"/>
  <c r="J24" i="40"/>
  <c r="K24" i="40" s="1"/>
  <c r="M23" i="40"/>
  <c r="N23" i="40" s="1"/>
  <c r="M24" i="40"/>
  <c r="N24" i="40" s="1"/>
  <c r="P23" i="40"/>
  <c r="Q23" i="40" s="1"/>
  <c r="P24" i="40"/>
  <c r="Q24" i="40" s="1"/>
  <c r="G23" i="40"/>
  <c r="H23" i="40" s="1"/>
  <c r="G24" i="40"/>
  <c r="H24" i="40" s="1"/>
  <c r="J21" i="40"/>
  <c r="K21" i="40" s="1"/>
  <c r="J22" i="40"/>
  <c r="K22" i="40" s="1"/>
  <c r="G21" i="40"/>
  <c r="H21" i="40" s="1"/>
  <c r="G22" i="40"/>
  <c r="H22" i="40" s="1"/>
  <c r="M21" i="40"/>
  <c r="N21" i="40" s="1"/>
  <c r="M22" i="40"/>
  <c r="N22" i="40" s="1"/>
  <c r="P21" i="40"/>
  <c r="Q21" i="40" s="1"/>
  <c r="P22" i="40"/>
  <c r="Q22" i="40" s="1"/>
  <c r="J19" i="40"/>
  <c r="K19" i="40" s="1"/>
  <c r="J20" i="40"/>
  <c r="K20" i="40" s="1"/>
  <c r="M19" i="40"/>
  <c r="N19" i="40" s="1"/>
  <c r="M20" i="40"/>
  <c r="N20" i="40" s="1"/>
  <c r="P19" i="40"/>
  <c r="Q19" i="40" s="1"/>
  <c r="P20" i="40"/>
  <c r="Q20" i="40" s="1"/>
  <c r="G19" i="40"/>
  <c r="H19" i="40" s="1"/>
  <c r="G20" i="40"/>
  <c r="H20" i="40" s="1"/>
  <c r="G17" i="40"/>
  <c r="H17" i="40" s="1"/>
  <c r="G18" i="40"/>
  <c r="H18" i="40" s="1"/>
  <c r="J17" i="40"/>
  <c r="K17" i="40" s="1"/>
  <c r="J18" i="40"/>
  <c r="K18" i="40" s="1"/>
  <c r="M17" i="40"/>
  <c r="N17" i="40" s="1"/>
  <c r="M18" i="40"/>
  <c r="N18" i="40" s="1"/>
  <c r="P17" i="40"/>
  <c r="Q17" i="40" s="1"/>
  <c r="P18" i="40"/>
  <c r="Q18" i="40" s="1"/>
  <c r="M15" i="40"/>
  <c r="N15" i="40" s="1"/>
  <c r="M16" i="40"/>
  <c r="N16" i="40" s="1"/>
  <c r="P15" i="40"/>
  <c r="Q15" i="40" s="1"/>
  <c r="P16" i="40"/>
  <c r="Q16" i="40" s="1"/>
  <c r="G15" i="40"/>
  <c r="H15" i="40" s="1"/>
  <c r="G16" i="40"/>
  <c r="H16" i="40" s="1"/>
  <c r="J15" i="40"/>
  <c r="K15" i="40" s="1"/>
  <c r="J16" i="40"/>
  <c r="K16" i="40" s="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S63" i="40" l="1"/>
  <c r="S60" i="40"/>
  <c r="S58" i="40"/>
  <c r="S59" i="40"/>
  <c r="S62" i="40"/>
  <c r="S66" i="40"/>
  <c r="S65" i="40"/>
  <c r="S64" i="40"/>
  <c r="S55" i="40"/>
  <c r="S48" i="40"/>
  <c r="S45" i="40"/>
  <c r="S50" i="40"/>
  <c r="S52" i="40"/>
  <c r="S47" i="40"/>
  <c r="S46" i="40"/>
  <c r="S49" i="40"/>
  <c r="S53" i="40"/>
  <c r="S54" i="40"/>
  <c r="S43" i="40"/>
  <c r="S44" i="40"/>
  <c r="S41" i="40"/>
  <c r="S39" i="40"/>
  <c r="S42" i="40"/>
  <c r="S35" i="40"/>
  <c r="S37" i="40"/>
  <c r="S40" i="40"/>
  <c r="S38" i="40"/>
  <c r="S33" i="40"/>
  <c r="S36" i="40"/>
  <c r="S29" i="40"/>
  <c r="S21" i="40"/>
  <c r="S25" i="40"/>
  <c r="S34" i="40"/>
  <c r="S30" i="40"/>
  <c r="S32" i="40"/>
  <c r="S31" i="40"/>
  <c r="S27" i="40"/>
  <c r="S28" i="40"/>
  <c r="S26" i="40"/>
  <c r="S23" i="40"/>
  <c r="S24" i="40"/>
  <c r="S22" i="40"/>
  <c r="S19" i="40"/>
  <c r="S20" i="40"/>
  <c r="S17" i="40"/>
  <c r="S18" i="40"/>
  <c r="S15" i="40"/>
  <c r="S16" i="40"/>
  <c r="R13" i="39"/>
  <c r="P13" i="39" s="1"/>
  <c r="T14" i="40"/>
  <c r="M14" i="40" s="1"/>
  <c r="N14" i="40" s="1"/>
  <c r="H16" i="55"/>
  <c r="J13" i="71"/>
  <c r="I13" i="71" s="1"/>
  <c r="I13" i="26"/>
  <c r="I13" i="70"/>
  <c r="F8" i="55"/>
  <c r="I14" i="26"/>
  <c r="H14" i="26" s="1"/>
  <c r="I14" i="70"/>
  <c r="H14" i="70" s="1"/>
  <c r="J14" i="71"/>
  <c r="T13" i="40"/>
  <c r="G5" i="55" l="1"/>
  <c r="G6" i="55"/>
  <c r="O13" i="39"/>
  <c r="Q13" i="39" s="1"/>
  <c r="I17" i="41"/>
  <c r="J14" i="40"/>
  <c r="K14" i="40" s="1"/>
  <c r="R14" i="40"/>
  <c r="P14" i="40"/>
  <c r="Q14" i="40" s="1"/>
  <c r="G14" i="40"/>
  <c r="H14" i="40"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F4" i="39"/>
  <c r="E7" i="40"/>
  <c r="R13" i="40"/>
  <c r="E6" i="40"/>
  <c r="N13" i="40"/>
  <c r="D7" i="40" s="1"/>
  <c r="H13" i="40"/>
  <c r="M13" i="40"/>
  <c r="G13" i="40"/>
  <c r="E5" i="40"/>
  <c r="Q13" i="40"/>
  <c r="J13" i="40"/>
  <c r="E8" i="40"/>
  <c r="K13" i="40"/>
  <c r="P13" i="40"/>
  <c r="S13" i="40"/>
  <c r="C7" i="55" s="1"/>
  <c r="G10" i="55" l="1"/>
  <c r="S14" i="40"/>
  <c r="C6" i="55" s="1"/>
  <c r="D6" i="40"/>
  <c r="D8" i="40"/>
  <c r="D5"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3" i="55"/>
  <c r="G22" i="55"/>
  <c r="D7"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L34" i="41" s="1"/>
  <c r="I65" i="41"/>
  <c r="I31" i="41"/>
  <c r="L31" i="41" s="1"/>
  <c r="I79" i="41"/>
  <c r="I68" i="41"/>
  <c r="I69" i="41"/>
  <c r="I37" i="41"/>
  <c r="I58" i="41"/>
  <c r="D20" i="41"/>
  <c r="I81" i="41"/>
  <c r="I70" i="41"/>
  <c r="I71" i="41"/>
  <c r="I39" i="41"/>
  <c r="I60" i="41"/>
  <c r="I28" i="41"/>
  <c r="J78" i="41"/>
  <c r="J62" i="41"/>
  <c r="J46" i="41"/>
  <c r="J30" i="41"/>
  <c r="J80" i="41"/>
  <c r="J67" i="41"/>
  <c r="F28" i="41"/>
  <c r="E9" i="40"/>
  <c r="I7" i="55" l="1"/>
  <c r="C5" i="55"/>
  <c r="C10" i="55" s="1"/>
  <c r="F27" i="41"/>
  <c r="C15" i="55" s="1"/>
  <c r="L37" i="41"/>
  <c r="L36" i="41"/>
  <c r="L35" i="41"/>
  <c r="L33" i="41"/>
  <c r="L32" i="41"/>
  <c r="D9" i="40"/>
  <c r="D17" i="41" s="1"/>
  <c r="L29" i="41"/>
  <c r="L28" i="41"/>
  <c r="I9" i="55"/>
  <c r="I8" i="55"/>
  <c r="H32" i="55"/>
  <c r="H28" i="55"/>
  <c r="H24" i="55"/>
  <c r="H31" i="55"/>
  <c r="H27" i="55"/>
  <c r="H23" i="55"/>
  <c r="H34" i="55"/>
  <c r="H30" i="55"/>
  <c r="H26" i="55"/>
  <c r="H33" i="55"/>
  <c r="H29"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G15" i="55"/>
  <c r="G16" i="55"/>
  <c r="F16" i="55"/>
  <c r="E77" i="55"/>
  <c r="G77" i="55"/>
  <c r="F77" i="55"/>
  <c r="G17" i="55" l="1"/>
  <c r="C17" i="55"/>
  <c r="F17" i="55"/>
  <c r="K27" i="41"/>
  <c r="H15" i="55" s="1"/>
  <c r="H17" i="55" s="1"/>
  <c r="D10" i="39"/>
  <c r="D22" i="41" s="1"/>
  <c r="H5" i="55"/>
  <c r="H10" i="55" s="1"/>
  <c r="R14" i="39"/>
  <c r="I19" i="41" s="1"/>
  <c r="O14" i="39" l="1"/>
  <c r="F6" i="39"/>
  <c r="F8" i="39" s="1"/>
  <c r="B3" i="74"/>
  <c r="I18" i="41"/>
  <c r="P14" i="39"/>
  <c r="I22" i="41"/>
  <c r="E6" i="55" l="1"/>
  <c r="H30" i="41"/>
  <c r="G30" i="41"/>
  <c r="D25" i="55"/>
  <c r="H25" i="55" s="1"/>
  <c r="D6" i="55"/>
  <c r="D22" i="55"/>
  <c r="D9" i="39"/>
  <c r="D19" i="41" s="1"/>
  <c r="E5" i="55"/>
  <c r="H27" i="41"/>
  <c r="D7" i="39"/>
  <c r="D5" i="55"/>
  <c r="C22" i="55"/>
  <c r="Q14" i="39"/>
  <c r="G27" i="41"/>
  <c r="D8" i="39"/>
  <c r="D6" i="39"/>
  <c r="I6" i="55" l="1"/>
  <c r="D77" i="55"/>
  <c r="E10" i="55"/>
  <c r="L30" i="41"/>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<sst xmlns="http://schemas.openxmlformats.org/spreadsheetml/2006/main" count="1779" uniqueCount="401">
  <si>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</si>
  <si>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</si>
  <si>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</si>
  <si>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</si>
  <si>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</si>
  <si>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</si>
  <si>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</si>
  <si>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</si>
  <si>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</si>
  <si>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</si>
  <si>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</si>
  <si>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</si>
  <si>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</si>
  <si>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</si>
  <si>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</si>
  <si>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</si>
  <si>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</si>
  <si>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</si>
  <si>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</si>
  <si>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</si>
  <si>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</si>
  <si>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</si>
  <si>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</si>
  <si>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</si>
  <si>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</si>
  <si>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</si>
  <si>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</si>
  <si>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</si>
  <si>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</si>
  <si>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</si>
  <si>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</si>
  <si>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</si>
  <si>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</si>
  <si>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</si>
  <si>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</si>
  <si>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</si>
  <si>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</si>
  <si>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</si>
  <si>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</si>
  <si>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</si>
  <si>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</si>
  <si>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</si>
  <si>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</si>
  <si>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</si>
  <si>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</si>
  <si>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</si>
  <si>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</si>
  <si>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</si>
  <si>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</si>
  <si>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</si>
  <si>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</si>
  <si>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</si>
  <si>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</si>
  <si>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</si>
  <si>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</si>
  <si>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</si>
  <si>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</si>
  <si>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</si>
  <si>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</si>
  <si>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</si>
  <si>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</si>
  <si>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</si>
  <si>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</si>
  <si>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</si>
  <si>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</si>
  <si>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</si>
  <si>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</si>
  <si>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</si>
  <si>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</si>
  <si>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</si>
  <si>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</si>
  <si>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</si>
  <si>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</si>
  <si>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</si>
  <si>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</si>
  <si>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</si>
  <si>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</si>
  <si>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</si>
  <si>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</si>
  <si>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</si>
  <si>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</si>
  <si>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</si>
  <si>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</si>
  <si>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</si>
  <si>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</si>
  <si>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</si>
  <si>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</si>
  <si>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</si>
  <si>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</si>
  <si>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</si>
  <si>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</si>
  <si>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</si>
  <si>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</si>
  <si>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</si>
  <si>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</si>
  <si>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</si>
  <si>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</si>
  <si>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</si>
  <si>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</si>
  <si>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</si>
  <si>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</si>
  <si>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</si>
  <si>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</si>
  <si>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</si>
  <si>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</si>
  <si>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</si>
  <si>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</si>
  <si>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</si>
  <si>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</si>
  <si>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</si>
  <si>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</si>
  <si>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</si>
  <si>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</si>
  <si>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</si>
  <si>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</si>
  <si>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</si>
  <si>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</si>
  <si>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</si>
  <si>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</si>
  <si>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</si>
  <si>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</si>
  <si>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</si>
  <si>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</si>
  <si>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</si>
  <si>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</si>
  <si>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</si>
  <si>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</si>
  <si>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</si>
  <si>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</si>
  <si>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</si>
  <si>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</si>
  <si>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</si>
  <si>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</si>
  <si>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</si>
  <si>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</si>
  <si>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</si>
  <si>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</si>
  <si>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</si>
  <si>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</si>
  <si>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</si>
  <si>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</si>
  <si>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</si>
  <si>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</si>
  <si>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</si>
  <si>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</si>
  <si>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</si>
  <si>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</si>
  <si>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</si>
  <si>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</si>
  <si>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</si>
  <si>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</si>
  <si>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</si>
  <si>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</si>
  <si>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</si>
  <si>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</si>
  <si>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</si>
  <si>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</si>
  <si>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</si>
  <si>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</si>
  <si>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</si>
  <si>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</si>
  <si>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</si>
  <si>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</si>
  <si>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</si>
  <si>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</si>
  <si>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</si>
  <si>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</si>
  <si>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</si>
  <si>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</si>
  <si>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</si>
  <si>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</si>
  <si>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</si>
  <si>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</si>
  <si>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</si>
  <si>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</si>
  <si>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</si>
  <si>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</si>
  <si>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</si>
  <si>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</si>
  <si>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</si>
  <si>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</si>
  <si>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</si>
  <si>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</si>
  <si>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</si>
  <si>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</si>
  <si>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</si>
  <si>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</si>
  <si>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</si>
  <si>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</si>
  <si>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</si>
  <si>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</si>
  <si>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</si>
  <si>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</si>
  <si>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</si>
  <si>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</si>
  <si>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</si>
  <si>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</si>
  <si>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</si>
  <si>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</si>
  <si>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</si>
  <si>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</si>
  <si>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</si>
  <si>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</si>
  <si>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</si>
  <si>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</si>
  <si>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</si>
  <si>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</si>
  <si>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</si>
  <si>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</si>
  <si>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</si>
  <si>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</si>
  <si>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</si>
  <si>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</si>
  <si>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</si>
  <si>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</si>
  <si>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</si>
  <si>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</si>
  <si>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</si>
  <si>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</si>
  <si>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</si>
  <si>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</si>
  <si>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</si>
  <si>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</si>
  <si>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</si>
  <si>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</si>
  <si>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</si>
  <si>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</si>
  <si>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</si>
  <si>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</si>
  <si>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</si>
  <si>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</si>
  <si>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</si>
  <si>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</si>
  <si>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</si>
  <si>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</si>
  <si>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</si>
  <si>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</si>
  <si>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</si>
  <si>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</si>
  <si>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</si>
  <si>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</si>
  <si>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</si>
  <si>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</si>
  <si>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</si>
  <si>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</si>
  <si>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</si>
  <si>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</si>
  <si>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</si>
  <si>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</si>
  <si>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</si>
  <si>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</si>
  <si>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</si>
  <si>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</si>
  <si>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</si>
  <si>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</si>
  <si>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</si>
  <si>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</si>
  <si>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</si>
  <si>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</si>
  <si>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</si>
  <si>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</si>
  <si>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</si>
  <si>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</si>
  <si>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</si>
  <si>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</si>
  <si>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</si>
  <si>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</si>
  <si>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</si>
  <si>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</si>
  <si>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</si>
  <si>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</si>
  <si>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</si>
  <si>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</si>
  <si>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</si>
  <si>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</si>
  <si>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</si>
  <si>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</si>
  <si>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</si>
  <si>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</si>
  <si>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</si>
  <si>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</si>
  <si>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</si>
  <si>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</si>
  <si>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</si>
  <si>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</si>
  <si>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</si>
  <si>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</si>
  <si>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</si>
  <si>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</si>
  <si>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</si>
  <si>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</si>
  <si>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</si>
  <si>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</si>
  <si>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</si>
  <si>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</si>
  <si>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</si>
  <si>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</si>
  <si>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</si>
  <si>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</si>
  <si>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</si>
  <si>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</si>
  <si>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</si>
  <si>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</si>
  <si>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</si>
  <si>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</si>
  <si>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</si>
  <si>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</si>
  <si>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</si>
  <si>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</si>
  <si>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</si>
  <si>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</si>
  <si>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</si>
  <si>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</si>
  <si>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</si>
  <si>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</si>
  <si>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</si>
  <si>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</si>
  <si>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</si>
  <si>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</si>
  <si>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</si>
  <si>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</si>
  <si>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</si>
  <si>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</si>
  <si>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</si>
  <si>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</si>
  <si>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</si>
  <si>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</si>
  <si>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</si>
  <si>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</si>
  <si>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</si>
  <si>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</si>
  <si>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</si>
  <si>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</si>
  <si>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</si>
  <si>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</si>
  <si>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</si>
  <si>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</si>
  <si>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</si>
  <si>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</si>
  <si>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</si>
  <si>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</si>
  <si>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</si>
  <si>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r>
      <t xml:space="preserve">Before completing this table please read carefully the instructions available on </t>
    </r>
    <r>
      <rPr>
        <u/>
        <sz val="18"/>
        <color rgb="FF0070C0"/>
        <rFont val="Arial Narrow"/>
        <family val="2"/>
      </rPr>
      <t>the EACEA website</t>
    </r>
  </si>
  <si>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</si>
  <si>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</si>
  <si>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</si>
  <si>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</si>
  <si>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</si>
  <si>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</si>
  <si>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</si>
  <si>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</si>
  <si>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2019*</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</si>
  <si>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</si>
  <si>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CALL FOR PROPOSALS 2019 – EAC/A03/2018 - Erasmus+ Programme (2018/C 384/04)</t>
  </si>
  <si>
    <t>http://ec.europa.eu/programmes/erasmus-plus/sites/erasmusplus2/files/erasmus-plus-programme-guide-2019_en.pdf</t>
  </si>
  <si>
    <t>https://eacea.ec.europa.eu/erasmus-plus/funding/capacity-building-higher-education-2019_en</t>
  </si>
  <si>
    <r>
      <t xml:space="preserve">Exceptional costs for expensive travel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</si>
  <si>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Please confirm here below if you wish to base the calculation of travel costs on exceptional costs rather than on unit costs.</t>
  </si>
  <si>
    <t>Université Paris Diderot</t>
  </si>
  <si>
    <t>Universidad Industrial de Santander</t>
  </si>
  <si>
    <t>UNIVERSIDAD ANTONIO NARINO</t>
  </si>
  <si>
    <t>UNIVERSIDAD SAN FRANCISCO DE QUITO</t>
  </si>
  <si>
    <t>UNIVERSIDADDE INVESTIGACIONDE TECNOLOGIA EXPERIMENTAL YACHAY</t>
  </si>
  <si>
    <t>UNIVERSIDAD NACIONAL MAYOR DE SAN MARCOS</t>
  </si>
  <si>
    <t xml:space="preserve">Universidad Nacional de Ingenieria </t>
  </si>
  <si>
    <t>UNIVERSIDAD CENTRAL DE VENEZUELA</t>
  </si>
  <si>
    <t>UNIVERSIDAD SIMON BOLIVAR</t>
  </si>
  <si>
    <t>UNIVERSITE PAUL SABATIER TOULOUSE III</t>
  </si>
  <si>
    <t>TECHNISCHE UNIVERSITAET DRESDEN</t>
  </si>
  <si>
    <t>Joint Project</t>
  </si>
  <si>
    <t>LA-CONGA Physics</t>
  </si>
  <si>
    <t>Latin American Alliance for Capacity building in Advanced Physics Initative</t>
  </si>
  <si>
    <t>staff cost</t>
  </si>
  <si>
    <t>institution's own resources and affiliated entity's resources</t>
  </si>
  <si>
    <t xml:space="preserve">Test Bench for prototyping, testing and calibration of particle detector systems </t>
  </si>
  <si>
    <t>DAQ System for developing of Water Cherenkov Detectors</t>
  </si>
  <si>
    <t>VME Crate for characterization of RPC detectors</t>
  </si>
  <si>
    <t>General purpose (gamma, betha radiation, positron, cosmic ray ) emulator with DAQ</t>
  </si>
  <si>
    <t>DAQ System for developing of Plastic Scintillators detectors for CR and radiation</t>
  </si>
  <si>
    <t>web Programmer</t>
  </si>
  <si>
    <t>labview Programmer</t>
  </si>
  <si>
    <t>Quito</t>
  </si>
  <si>
    <t>Lima</t>
  </si>
  <si>
    <t>Caracas</t>
  </si>
  <si>
    <t>Bucaramanga</t>
  </si>
  <si>
    <t>Ibarra</t>
  </si>
  <si>
    <t>Paris</t>
  </si>
  <si>
    <t>Bogota</t>
  </si>
  <si>
    <t>Geneva</t>
  </si>
  <si>
    <t>Trieste</t>
  </si>
  <si>
    <t>Dresden</t>
  </si>
  <si>
    <t>Hamburg</t>
  </si>
  <si>
    <t>Toulouse</t>
  </si>
  <si>
    <t>Saclay</t>
  </si>
  <si>
    <t>Budget administrative support</t>
  </si>
  <si>
    <t>administrative support</t>
  </si>
  <si>
    <t>Technical support for the instrumentation labs</t>
  </si>
  <si>
    <t>PC for control and setup</t>
  </si>
  <si>
    <t>Data switch router</t>
  </si>
  <si>
    <t>connectivity</t>
  </si>
  <si>
    <t>need to work with computer equipment and a good connection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</si>
</sst>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7"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u/>
      <sz val="18"/>
      <color rgb="FF0070C0"/>
      <name val="Arial Narrow"/>
      <family val="2"/>
    </font>
    <font>
      <sz val="11"/>
      <name val="Arial Narrow"/>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7" borderId="1" xfId="0" applyFont="1" applyFill="1" applyBorder="1" applyProtection="1"/>
    <xf numFmtId="4" fontId="20" fillId="7" borderId="1" xfId="0" applyNumberFormat="1" applyFont="1" applyFill="1" applyBorder="1" applyProtection="1"/>
    <xf numFmtId="0" fontId="20" fillId="6"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8" borderId="1" xfId="0" applyNumberFormat="1" applyFont="1" applyFill="1" applyBorder="1" applyAlignment="1" applyProtection="1">
      <alignment horizontal="right"/>
    </xf>
    <xf numFmtId="4" fontId="20" fillId="6"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6"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6"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26" fillId="0" borderId="0" xfId="2" applyFont="1" applyFill="1" applyAlignment="1" applyProtection="1">
      <alignment vertical="center"/>
      <protection locked="0"/>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10" fillId="0" borderId="1" xfId="0"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1" fillId="0" borderId="0" xfId="2" applyFill="1" applyAlignment="1" applyProtection="1">
      <alignment vertical="center"/>
      <protection locked="0"/>
    </xf>
  </cellXfs>
  <cellStyles count="6">
    <cellStyle name="Hyperlink 2" xfId="4"/>
    <cellStyle name="Lien hypertexte" xfId="2" builtinId="8"/>
    <cellStyle name="Milliers" xfId="1" builtinId="3"/>
    <cellStyle name="Normal" xfId="0" builtinId="0"/>
    <cellStyle name="Normal 2" xfId="3"/>
    <cellStyle name="Pourcentage" xfId="5" builtinId="5"/>
  </cellStyles>
  <dxfs count="1810">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FFCC"/>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rPr>
                <a:t>Duplicate Row</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higher-education-2018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higher-education-2019_en" TargetMode="External"/><Relationship Id="rId1" Type="http://schemas.openxmlformats.org/officeDocument/2006/relationships/hyperlink" Target="http://ec.europa.eu/programmes/erasmus-plus/sites/erasmusplus2/files/erasmus-plus-programme-guide-2019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abSelected="1" topLeftCell="A7" zoomScale="70" zoomScaleNormal="70" zoomScaleSheetLayoutView="85" workbookViewId="0">
      <selection activeCell="C30" sqref="C30"/>
    </sheetView>
  </sheetViews>
  <sheetFormatPr baseColWidth="10"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2" width="20.7109375" style="1" customWidth="1"/>
    <col min="13" max="13" width="1.7109375" style="1" customWidth="1"/>
    <col min="14" max="16384" width="9.140625" style="1"/>
  </cols>
  <sheetData>
    <row r="1" spans="2:12" ht="9.9499999999999993" customHeight="1" x14ac:dyDescent="0.25">
      <c r="G1" s="3"/>
      <c r="H1" s="3"/>
      <c r="I1" s="3"/>
      <c r="J1" s="3"/>
      <c r="K1" s="3"/>
      <c r="L1" s="3"/>
    </row>
    <row r="2" spans="2:12" s="6" customFormat="1" x14ac:dyDescent="0.25">
      <c r="B2" s="4"/>
      <c r="C2" s="4"/>
      <c r="D2" s="5"/>
      <c r="E2" s="5"/>
      <c r="F2" s="5"/>
      <c r="G2" s="3"/>
      <c r="H2" s="3"/>
      <c r="I2" s="3"/>
      <c r="J2" s="3"/>
      <c r="K2" s="3"/>
      <c r="L2" s="3"/>
    </row>
    <row r="3" spans="2:12" s="6" customFormat="1" x14ac:dyDescent="0.25">
      <c r="B3" s="4"/>
      <c r="C3" s="4"/>
      <c r="D3" s="7" t="s">
        <v>133</v>
      </c>
      <c r="E3" s="8"/>
      <c r="F3" s="5"/>
      <c r="G3" s="3"/>
      <c r="H3" s="3"/>
      <c r="I3" s="3"/>
      <c r="J3" s="3"/>
      <c r="K3" s="3"/>
      <c r="L3" s="3"/>
    </row>
    <row r="4" spans="2:12" s="6" customFormat="1" ht="20.100000000000001" customHeight="1" x14ac:dyDescent="0.25">
      <c r="B4" s="4"/>
      <c r="D4" s="7" t="s">
        <v>313</v>
      </c>
      <c r="E4" s="9"/>
      <c r="F4" s="9"/>
      <c r="G4" s="9"/>
      <c r="H4" s="9"/>
      <c r="I4" s="9"/>
      <c r="J4" s="9"/>
      <c r="K4" s="9"/>
      <c r="L4" s="9"/>
    </row>
    <row r="5" spans="2:12" s="6" customFormat="1" ht="20.100000000000001" customHeight="1" x14ac:dyDescent="0.25">
      <c r="B5" s="4"/>
      <c r="D5" s="9"/>
      <c r="E5" s="9"/>
      <c r="F5" s="9"/>
      <c r="G5" s="9"/>
      <c r="H5" s="9"/>
      <c r="I5" s="9"/>
      <c r="J5" s="9"/>
      <c r="K5" s="9"/>
      <c r="L5" s="9"/>
    </row>
    <row r="6" spans="2:12" s="6" customFormat="1" ht="9.9499999999999993" customHeight="1" x14ac:dyDescent="0.25">
      <c r="B6" s="10"/>
      <c r="C6" s="10"/>
      <c r="D6" s="5"/>
      <c r="E6" s="5"/>
      <c r="F6" s="5"/>
      <c r="G6" s="5"/>
      <c r="H6" s="5"/>
      <c r="I6" s="5"/>
      <c r="J6" s="5"/>
      <c r="K6" s="5"/>
    </row>
    <row r="7" spans="2:12" s="6" customFormat="1" ht="24.95" customHeight="1" x14ac:dyDescent="0.25">
      <c r="B7" s="126" t="s">
        <v>342</v>
      </c>
      <c r="C7" s="126"/>
      <c r="D7" s="126"/>
      <c r="E7" s="126"/>
      <c r="F7" s="126"/>
      <c r="G7" s="126"/>
      <c r="H7" s="126"/>
      <c r="I7" s="126"/>
      <c r="J7" s="126"/>
      <c r="K7" s="126"/>
      <c r="L7" s="126"/>
    </row>
    <row r="8" spans="2:12" s="6" customFormat="1" ht="24.95" customHeight="1" x14ac:dyDescent="0.25">
      <c r="B8" s="127" t="s">
        <v>353</v>
      </c>
      <c r="C8" s="127"/>
      <c r="D8" s="127"/>
      <c r="E8" s="127"/>
      <c r="F8" s="127"/>
      <c r="G8" s="127"/>
      <c r="H8" s="127"/>
      <c r="I8" s="127"/>
      <c r="J8" s="127"/>
      <c r="K8" s="127"/>
      <c r="L8" s="127"/>
    </row>
    <row r="9" spans="2:12" s="6" customFormat="1" ht="24.95" customHeight="1" x14ac:dyDescent="0.25">
      <c r="B9" s="126" t="s">
        <v>130</v>
      </c>
      <c r="C9" s="126"/>
      <c r="D9" s="126"/>
      <c r="E9" s="126"/>
      <c r="F9" s="126"/>
      <c r="G9" s="126"/>
      <c r="H9" s="126"/>
      <c r="I9" s="126"/>
      <c r="J9" s="126"/>
      <c r="K9" s="126"/>
      <c r="L9" s="126"/>
    </row>
    <row r="10" spans="2:12" s="6" customFormat="1" ht="20.100000000000001" customHeight="1" x14ac:dyDescent="0.25">
      <c r="B10" s="10"/>
      <c r="C10" s="10"/>
      <c r="D10" s="5"/>
      <c r="E10" s="5"/>
      <c r="F10" s="5"/>
      <c r="G10" s="5"/>
      <c r="H10" s="5"/>
      <c r="I10" s="5"/>
      <c r="J10" s="5"/>
      <c r="K10" s="5"/>
    </row>
    <row r="11" spans="2:12" s="6" customFormat="1" ht="18" customHeight="1" x14ac:dyDescent="0.25">
      <c r="B11" s="117" t="s">
        <v>2</v>
      </c>
      <c r="C11" s="117"/>
      <c r="D11" s="11" t="s">
        <v>369</v>
      </c>
      <c r="E11" s="128" t="str">
        <f>IF(D11="","Please select Action Type",IF(OR(D11="Joint Project",D11="Structural Project"),"","Error Type of Action"))</f>
        <v/>
      </c>
      <c r="F11" s="128"/>
      <c r="G11" s="128"/>
      <c r="H11" s="128"/>
      <c r="I11" s="128"/>
      <c r="J11" s="128"/>
      <c r="K11" s="128"/>
      <c r="L11" s="128"/>
    </row>
    <row r="12" spans="2:12" s="6" customFormat="1" ht="18" customHeight="1" x14ac:dyDescent="0.25">
      <c r="B12" s="117" t="s">
        <v>136</v>
      </c>
      <c r="C12" s="117"/>
      <c r="D12" s="11">
        <v>36</v>
      </c>
      <c r="E12" s="128" t="str">
        <f>IF(D12="","Please select duration",IF(OR(D12=24,D12=36),"","Error duration"))</f>
        <v/>
      </c>
      <c r="F12" s="128"/>
      <c r="G12" s="128"/>
      <c r="H12" s="128"/>
      <c r="I12" s="128"/>
      <c r="J12" s="128"/>
      <c r="K12" s="128"/>
      <c r="L12" s="128"/>
    </row>
    <row r="13" spans="2:12" s="6" customFormat="1" ht="18" customHeight="1" x14ac:dyDescent="0.25">
      <c r="B13" s="117" t="s">
        <v>169</v>
      </c>
      <c r="C13" s="117"/>
      <c r="D13" s="11" t="s">
        <v>370</v>
      </c>
      <c r="E13" s="128" t="str">
        <f>IF(D13="","Please fill in Project Acronym","")</f>
        <v/>
      </c>
      <c r="F13" s="128"/>
      <c r="G13" s="128"/>
      <c r="H13" s="128"/>
      <c r="I13" s="128"/>
      <c r="J13" s="128"/>
      <c r="K13" s="128"/>
      <c r="L13" s="128"/>
    </row>
    <row r="14" spans="2:12" s="6" customFormat="1" ht="18" customHeight="1" x14ac:dyDescent="0.25">
      <c r="B14" s="117" t="s">
        <v>170</v>
      </c>
      <c r="C14" s="117"/>
      <c r="D14" s="129" t="s">
        <v>371</v>
      </c>
      <c r="E14" s="130"/>
      <c r="F14" s="130"/>
      <c r="G14" s="130"/>
      <c r="H14" s="130"/>
      <c r="I14" s="130"/>
      <c r="J14" s="130"/>
      <c r="K14" s="130"/>
      <c r="L14" s="131"/>
    </row>
    <row r="15" spans="2:12" s="6" customFormat="1" ht="20.100000000000001" customHeight="1" x14ac:dyDescent="0.25">
      <c r="B15" s="5"/>
      <c r="C15" s="5"/>
      <c r="D15" s="5"/>
      <c r="E15" s="5"/>
      <c r="F15" s="12"/>
      <c r="G15" s="5"/>
      <c r="H15" s="5"/>
      <c r="I15" s="5"/>
      <c r="J15" s="5"/>
      <c r="K15" s="5"/>
    </row>
    <row r="16" spans="2:12" s="6" customFormat="1" ht="24.95" customHeight="1" x14ac:dyDescent="0.25">
      <c r="B16" s="116" t="s">
        <v>222</v>
      </c>
      <c r="C16" s="116"/>
      <c r="D16" s="116"/>
      <c r="E16" s="116"/>
      <c r="F16" s="116"/>
      <c r="G16" s="116"/>
      <c r="H16" s="116"/>
      <c r="I16" s="116"/>
      <c r="J16" s="116"/>
      <c r="K16" s="116"/>
      <c r="L16" s="116"/>
    </row>
    <row r="17" spans="2:12" s="6" customFormat="1" x14ac:dyDescent="0.25">
      <c r="B17" s="117" t="s">
        <v>166</v>
      </c>
      <c r="C17" s="117"/>
      <c r="D17" s="13">
        <f>'1. Staff costs'!D9</f>
        <v>269815</v>
      </c>
      <c r="E17" s="112" t="str">
        <f>"Cannot exceed 40% of total Grant requested"</f>
        <v>Cannot exceed 40% of total Grant requested</v>
      </c>
      <c r="F17" s="113"/>
      <c r="G17" s="113"/>
      <c r="H17" s="113"/>
      <c r="I17" s="114" t="str">
        <f>IF(COUNTIF('1. Staff costs'!T:T,"Error")&lt;=1,"","Please check data in Tab '1. Staff Costs'")</f>
        <v/>
      </c>
      <c r="J17" s="114"/>
      <c r="K17" s="114"/>
      <c r="L17" s="115"/>
    </row>
    <row r="18" spans="2:12" s="6" customFormat="1" x14ac:dyDescent="0.25">
      <c r="B18" s="117" t="s">
        <v>344</v>
      </c>
      <c r="C18" s="117"/>
      <c r="D18" s="13">
        <f>' 2-3-6. Travel&amp;Costs of Stay'!D8</f>
        <v>118570</v>
      </c>
      <c r="E18" s="112"/>
      <c r="F18" s="113"/>
      <c r="G18" s="113"/>
      <c r="H18" s="113"/>
      <c r="I18" s="114" t="str">
        <f>IF(COUNTIF(' 2-3-6. Travel&amp;Costs of Stay'!R:R,"Error")&lt;=1,"","Please check data in Tab '2-3-6. Travel&amp;Costs of Stay'")</f>
        <v/>
      </c>
      <c r="J18" s="114"/>
      <c r="K18" s="114"/>
      <c r="L18" s="115"/>
    </row>
    <row r="19" spans="2:12" s="6" customFormat="1" x14ac:dyDescent="0.25">
      <c r="B19" s="117" t="s">
        <v>187</v>
      </c>
      <c r="C19" s="117"/>
      <c r="D19" s="13">
        <f>' 2-3-6. Travel&amp;Costs of Stay'!D9</f>
        <v>307035</v>
      </c>
      <c r="E19" s="124"/>
      <c r="F19" s="125"/>
      <c r="G19" s="125"/>
      <c r="H19" s="125"/>
      <c r="I19" s="114" t="str">
        <f>IF(COUNTIF(' 2-3-6. Travel&amp;Costs of Stay'!R:R,"Error")&lt;=1,"","Please check data in Tab '2-3-6. Travel&amp;Costs of Stay'")</f>
        <v/>
      </c>
      <c r="J19" s="114"/>
      <c r="K19" s="114"/>
      <c r="L19" s="115"/>
    </row>
    <row r="20" spans="2:12" s="6" customFormat="1" x14ac:dyDescent="0.25">
      <c r="B20" s="117" t="s">
        <v>185</v>
      </c>
      <c r="C20" s="117"/>
      <c r="D20" s="13">
        <f>'4. Equipment Costs'!C4</f>
        <v>183675</v>
      </c>
      <c r="E20" s="112" t="str">
        <f>"Cannot exceed 30% of Total Grant requested"</f>
        <v>Cannot exceed 30% of Total Grant requested</v>
      </c>
      <c r="F20" s="113"/>
      <c r="G20" s="113"/>
      <c r="H20" s="113"/>
      <c r="I20" s="114" t="str">
        <f>IF(COUNTIF('4. Equipment Costs'!I:I,"Error")&lt;=1,"","Please check data in Tab '4. Equipment Costs''")</f>
        <v/>
      </c>
      <c r="J20" s="114"/>
      <c r="K20" s="114"/>
      <c r="L20" s="115"/>
    </row>
    <row r="21" spans="2:12" s="6" customFormat="1" x14ac:dyDescent="0.25">
      <c r="B21" s="117" t="s">
        <v>186</v>
      </c>
      <c r="C21" s="117"/>
      <c r="D21" s="13">
        <f>'5. Subcontracting Costs'!C4</f>
        <v>20500</v>
      </c>
      <c r="E21" s="112" t="str">
        <f>"Cannot exceed 10% of Total Grant requested"</f>
        <v>Cannot exceed 10% of Total Grant requested</v>
      </c>
      <c r="F21" s="113"/>
      <c r="G21" s="113"/>
      <c r="H21" s="113"/>
      <c r="I21" s="114" t="str">
        <f>IF(COUNTIF('5. Subcontracting Costs'!I:I,"Error")&lt;=1,"","Please check data in Tab '5. Subcontracting Costs'")</f>
        <v/>
      </c>
      <c r="J21" s="114"/>
      <c r="K21" s="114"/>
      <c r="L21" s="115"/>
    </row>
    <row r="22" spans="2:12" s="6" customFormat="1" x14ac:dyDescent="0.25">
      <c r="B22" s="117" t="s">
        <v>343</v>
      </c>
      <c r="C22" s="117"/>
      <c r="D22" s="13">
        <f>IF(OR(C27="",D27=""),0,' 2-3-6. Travel&amp;Costs of Stay'!D10)</f>
        <v>0</v>
      </c>
      <c r="E22" s="112"/>
      <c r="F22" s="113"/>
      <c r="G22" s="113"/>
      <c r="H22" s="113"/>
      <c r="I22" s="114" t="str">
        <f>IF(COUNTIF(' 2-3-6. Travel&amp;Costs of Stay'!R:R,"Error")&lt;=1,"","Please check data in Tab '2-3-6. Travel&amp;Costs of Stay'")</f>
        <v/>
      </c>
      <c r="J22" s="114"/>
      <c r="K22" s="114"/>
      <c r="L22" s="115"/>
    </row>
    <row r="23" spans="2:12" ht="24.95" customHeight="1" x14ac:dyDescent="0.25">
      <c r="B23" s="118" t="s">
        <v>334</v>
      </c>
      <c r="C23" s="119"/>
      <c r="D23" s="14">
        <f>SUM(D17:D22)</f>
        <v>899595</v>
      </c>
      <c r="E23" s="120" t="str">
        <f>"Should be equal or above EUR 500.000,00 and cannot exceed EUR 1.000.000,00"</f>
        <v>Should be equal or above EUR 500.000,00 and cannot exceed EUR 1.000.000,00</v>
      </c>
      <c r="F23" s="121"/>
      <c r="G23" s="121"/>
      <c r="H23" s="121"/>
      <c r="I23" s="122" t="str">
        <f>IF(OR(COUNTIF('Co-financing'!J:J,"Error")&lt;=1,AND('Co-financing'!B14="",'Co-financing'!E14="",'Co-financing'!F14="",'Co-financing'!G14="",'Co-financing'!H14=0)),"","Please check data in Tab 'Co-financing'")</f>
        <v/>
      </c>
      <c r="J23" s="122"/>
      <c r="K23" s="122"/>
      <c r="L23" s="123"/>
    </row>
    <row r="24" spans="2:12" s="6" customFormat="1" ht="20.100000000000001" customHeight="1" x14ac:dyDescent="0.25">
      <c r="B24" s="5"/>
      <c r="C24" s="5"/>
      <c r="D24" s="5"/>
      <c r="E24" s="5"/>
      <c r="F24" s="12"/>
      <c r="G24" s="5"/>
      <c r="H24" s="5"/>
      <c r="I24" s="5"/>
      <c r="J24" s="5"/>
      <c r="K24" s="5"/>
    </row>
    <row r="25" spans="2:12" s="6" customFormat="1" ht="24.95" customHeight="1" x14ac:dyDescent="0.25">
      <c r="B25" s="116" t="s">
        <v>179</v>
      </c>
      <c r="C25" s="116"/>
      <c r="D25" s="116"/>
      <c r="E25" s="116"/>
      <c r="F25" s="116"/>
      <c r="G25" s="116"/>
      <c r="H25" s="116"/>
      <c r="I25" s="116"/>
      <c r="J25" s="116"/>
      <c r="K25" s="116"/>
      <c r="L25" s="116"/>
    </row>
    <row r="26" spans="2:12" s="6" customFormat="1" ht="36" x14ac:dyDescent="0.25">
      <c r="B26" s="50" t="s">
        <v>147</v>
      </c>
      <c r="C26" s="15" t="s">
        <v>148</v>
      </c>
      <c r="D26" s="15" t="s">
        <v>0</v>
      </c>
      <c r="E26" s="16" t="s">
        <v>176</v>
      </c>
      <c r="F26" s="16" t="s">
        <v>191</v>
      </c>
      <c r="G26" s="16" t="s">
        <v>192</v>
      </c>
      <c r="H26" s="16" t="s">
        <v>193</v>
      </c>
      <c r="I26" s="16" t="s">
        <v>194</v>
      </c>
      <c r="J26" s="16" t="s">
        <v>195</v>
      </c>
      <c r="K26" s="16" t="s">
        <v>343</v>
      </c>
      <c r="L26" s="17" t="s">
        <v>310</v>
      </c>
    </row>
    <row r="27" spans="2:12" x14ac:dyDescent="0.25">
      <c r="B27" s="48" t="s">
        <v>8</v>
      </c>
      <c r="C27" s="22" t="s">
        <v>358</v>
      </c>
      <c r="D27" s="18" t="s">
        <v>35</v>
      </c>
      <c r="E27" s="19" t="str">
        <f t="shared" ref="E27:E81" si="0">IFERROR(IF(D27&lt;&gt;"",VLOOKUP(D27,CountryType,2,FALSE),""),"Country not found")</f>
        <v>Programme Countries</v>
      </c>
      <c r="F27" s="20">
        <f>SUMIF('1. Staff costs'!C:C,B27,'1. Staff costs'!S:S)</f>
        <v>160330</v>
      </c>
      <c r="G27" s="20">
        <f>SUMIF(' 2-3-6. Travel&amp;Costs of Stay'!C:C,B27,' 2-3-6. Travel&amp;Costs of Stay'!O:O)</f>
        <v>15000</v>
      </c>
      <c r="H27" s="20">
        <f>SUMIF(' 2-3-6. Travel&amp;Costs of Stay'!C:C,B27,' 2-3-6. Travel&amp;Costs of Stay'!P:P)</f>
        <v>8880</v>
      </c>
      <c r="I27" s="20">
        <f>SUMIF('4. Equipment Costs'!C:C,B27,'4. Equipment Costs'!H:H)</f>
        <v>0</v>
      </c>
      <c r="J27" s="20">
        <f>SUMIF('5. Subcontracting Costs'!C:C,B27,'5. Subcontracting Costs'!H:H)</f>
        <v>0</v>
      </c>
      <c r="K27" s="20">
        <f>SUMIF(' 2-3-6. Travel&amp;Costs of Stay'!C:C,B27,' 2-3-6. Travel&amp;Costs of Stay'!N:N)</f>
        <v>0</v>
      </c>
      <c r="L27" s="21">
        <f>IF(OR(C27="",D27=""),0,SUM(F27:K27))</f>
        <v>184210</v>
      </c>
    </row>
    <row r="28" spans="2:12" x14ac:dyDescent="0.25">
      <c r="B28" s="48" t="s">
        <v>9</v>
      </c>
      <c r="C28" s="22" t="s">
        <v>359</v>
      </c>
      <c r="D28" s="18" t="s">
        <v>68</v>
      </c>
      <c r="E28" s="19" t="str">
        <f t="shared" si="0"/>
        <v>Partner Countries</v>
      </c>
      <c r="F28" s="20">
        <f>SUMIF('1. Staff costs'!C:C,B28,'1. Staff costs'!S:S)</f>
        <v>16560</v>
      </c>
      <c r="G28" s="20">
        <f>SUMIF(' 2-3-6. Travel&amp;Costs of Stay'!C:C,B28,' 2-3-6. Travel&amp;Costs of Stay'!O:O)</f>
        <v>11235</v>
      </c>
      <c r="H28" s="20">
        <f>SUMIF(' 2-3-6. Travel&amp;Costs of Stay'!C:C,B28,' 2-3-6. Travel&amp;Costs of Stay'!P:P)</f>
        <v>35340</v>
      </c>
      <c r="I28" s="20">
        <f>SUMIF('4. Equipment Costs'!C:C,B28,'4. Equipment Costs'!H:H)</f>
        <v>22828</v>
      </c>
      <c r="J28" s="20">
        <f>SUMIF('5. Subcontracting Costs'!C:C,B28,'5. Subcontracting Costs'!H:H)</f>
        <v>15000</v>
      </c>
      <c r="K28" s="20">
        <f>SUMIF(' 2-3-6. Travel&amp;Costs of Stay'!C:C,B28,' 2-3-6. Travel&amp;Costs of Stay'!N:N)</f>
        <v>0</v>
      </c>
      <c r="L28" s="21">
        <f t="shared" ref="L28:L81" si="1">IF(OR(C28="",D28=""),0,SUM(F28:K28))</f>
        <v>100963</v>
      </c>
    </row>
    <row r="29" spans="2:12" x14ac:dyDescent="0.25">
      <c r="B29" s="48" t="s">
        <v>10</v>
      </c>
      <c r="C29" s="22" t="s">
        <v>360</v>
      </c>
      <c r="D29" s="18" t="s">
        <v>68</v>
      </c>
      <c r="E29" s="19" t="str">
        <f t="shared" si="0"/>
        <v>Partner Countries</v>
      </c>
      <c r="F29" s="20">
        <f>SUMIF('1. Staff costs'!C:C,B29,'1. Staff costs'!S:S)</f>
        <v>13200</v>
      </c>
      <c r="G29" s="20">
        <f>SUMIF(' 2-3-6. Travel&amp;Costs of Stay'!C:C,B29,' 2-3-6. Travel&amp;Costs of Stay'!O:O)</f>
        <v>10695</v>
      </c>
      <c r="H29" s="20">
        <f>SUMIF(' 2-3-6. Travel&amp;Costs of Stay'!C:C,B29,' 2-3-6. Travel&amp;Costs of Stay'!P:P)</f>
        <v>35820</v>
      </c>
      <c r="I29" s="20">
        <f>SUMIF('4. Equipment Costs'!C:C,B29,'4. Equipment Costs'!H:H)</f>
        <v>24501</v>
      </c>
      <c r="J29" s="20">
        <f>SUMIF('5. Subcontracting Costs'!C:C,B29,'5. Subcontracting Costs'!H:H)</f>
        <v>0</v>
      </c>
      <c r="K29" s="20">
        <f>SUMIF(' 2-3-6. Travel&amp;Costs of Stay'!C:C,B29,' 2-3-6. Travel&amp;Costs of Stay'!N:N)</f>
        <v>0</v>
      </c>
      <c r="L29" s="21">
        <f t="shared" si="1"/>
        <v>84216</v>
      </c>
    </row>
    <row r="30" spans="2:12" x14ac:dyDescent="0.25">
      <c r="B30" s="48" t="s">
        <v>11</v>
      </c>
      <c r="C30" s="22" t="s">
        <v>361</v>
      </c>
      <c r="D30" s="18" t="s">
        <v>71</v>
      </c>
      <c r="E30" s="19" t="str">
        <f t="shared" si="0"/>
        <v>Partner Countries</v>
      </c>
      <c r="F30" s="20">
        <f>SUMIF('1. Staff costs'!C:C,B30,'1. Staff costs'!S:S)</f>
        <v>7938</v>
      </c>
      <c r="G30" s="20">
        <f>SUMIF(' 2-3-6. Travel&amp;Costs of Stay'!C:C,B30,' 2-3-6. Travel&amp;Costs of Stay'!O:O)</f>
        <v>11095</v>
      </c>
      <c r="H30" s="20">
        <f>SUMIF(' 2-3-6. Travel&amp;Costs of Stay'!C:C,B30,' 2-3-6. Travel&amp;Costs of Stay'!P:P)</f>
        <v>36510</v>
      </c>
      <c r="I30" s="20">
        <f>SUMIF('4. Equipment Costs'!C:C,B30,'4. Equipment Costs'!H:H)</f>
        <v>30923</v>
      </c>
      <c r="J30" s="20">
        <f>SUMIF('5. Subcontracting Costs'!C:C,B30,'5. Subcontracting Costs'!H:H)</f>
        <v>5500</v>
      </c>
      <c r="K30" s="20">
        <f>SUMIF(' 2-3-6. Travel&amp;Costs of Stay'!C:C,B30,' 2-3-6. Travel&amp;Costs of Stay'!N:N)</f>
        <v>0</v>
      </c>
      <c r="L30" s="21">
        <f t="shared" si="1"/>
        <v>91966</v>
      </c>
    </row>
    <row r="31" spans="2:12" ht="36" x14ac:dyDescent="0.25">
      <c r="B31" s="48" t="s">
        <v>12</v>
      </c>
      <c r="C31" s="22" t="s">
        <v>362</v>
      </c>
      <c r="D31" s="18" t="s">
        <v>71</v>
      </c>
      <c r="E31" s="19" t="str">
        <f t="shared" si="0"/>
        <v>Partner Countries</v>
      </c>
      <c r="F31" s="20">
        <f>SUMIF('1. Staff costs'!C:C,B31,'1. Staff costs'!S:S)</f>
        <v>4503</v>
      </c>
      <c r="G31" s="20">
        <f>SUMIF(' 2-3-6. Travel&amp;Costs of Stay'!C:C,B31,' 2-3-6. Travel&amp;Costs of Stay'!O:O)</f>
        <v>9505</v>
      </c>
      <c r="H31" s="20">
        <f>SUMIF(' 2-3-6. Travel&amp;Costs of Stay'!C:C,B31,' 2-3-6. Travel&amp;Costs of Stay'!P:P)</f>
        <v>35430</v>
      </c>
      <c r="I31" s="20">
        <f>SUMIF('4. Equipment Costs'!C:C,B31,'4. Equipment Costs'!H:H)</f>
        <v>17927</v>
      </c>
      <c r="J31" s="20">
        <f>SUMIF('5. Subcontracting Costs'!C:C,B31,'5. Subcontracting Costs'!H:H)</f>
        <v>0</v>
      </c>
      <c r="K31" s="20">
        <f>SUMIF(' 2-3-6. Travel&amp;Costs of Stay'!C:C,B31,' 2-3-6. Travel&amp;Costs of Stay'!N:N)</f>
        <v>0</v>
      </c>
      <c r="L31" s="21">
        <f t="shared" si="1"/>
        <v>67365</v>
      </c>
    </row>
    <row r="32" spans="2:12" ht="36" x14ac:dyDescent="0.25">
      <c r="B32" s="48" t="s">
        <v>13</v>
      </c>
      <c r="C32" s="22" t="s">
        <v>363</v>
      </c>
      <c r="D32" s="18" t="s">
        <v>135</v>
      </c>
      <c r="E32" s="19" t="str">
        <f t="shared" si="0"/>
        <v>Partner Countries</v>
      </c>
      <c r="F32" s="20">
        <f>SUMIF('1. Staff costs'!C:C,B32,'1. Staff costs'!S:S)</f>
        <v>9424</v>
      </c>
      <c r="G32" s="20">
        <f>SUMIF(' 2-3-6. Travel&amp;Costs of Stay'!C:C,B32,' 2-3-6. Travel&amp;Costs of Stay'!O:O)</f>
        <v>11860</v>
      </c>
      <c r="H32" s="20">
        <f>SUMIF(' 2-3-6. Travel&amp;Costs of Stay'!C:C,B32,' 2-3-6. Travel&amp;Costs of Stay'!P:P)</f>
        <v>36315</v>
      </c>
      <c r="I32" s="20">
        <f>SUMIF('4. Equipment Costs'!C:C,B32,'4. Equipment Costs'!H:H)</f>
        <v>17927</v>
      </c>
      <c r="J32" s="20">
        <f>SUMIF('5. Subcontracting Costs'!C:C,B32,'5. Subcontracting Costs'!H:H)</f>
        <v>0</v>
      </c>
      <c r="K32" s="20">
        <f>SUMIF(' 2-3-6. Travel&amp;Costs of Stay'!C:C,B32,' 2-3-6. Travel&amp;Costs of Stay'!N:N)</f>
        <v>0</v>
      </c>
      <c r="L32" s="21">
        <f t="shared" si="1"/>
        <v>75526</v>
      </c>
    </row>
    <row r="33" spans="2:12" x14ac:dyDescent="0.25">
      <c r="B33" s="48" t="s">
        <v>14</v>
      </c>
      <c r="C33" s="22" t="s">
        <v>364</v>
      </c>
      <c r="D33" s="18" t="s">
        <v>135</v>
      </c>
      <c r="E33" s="19" t="str">
        <f t="shared" si="0"/>
        <v>Partner Countries</v>
      </c>
      <c r="F33" s="20">
        <f>SUMIF('1. Staff costs'!C:C,B33,'1. Staff costs'!S:S)</f>
        <v>7920</v>
      </c>
      <c r="G33" s="20">
        <f>SUMIF(' 2-3-6. Travel&amp;Costs of Stay'!C:C,B33,' 2-3-6. Travel&amp;Costs of Stay'!O:O)</f>
        <v>10675</v>
      </c>
      <c r="H33" s="20">
        <f>SUMIF(' 2-3-6. Travel&amp;Costs of Stay'!C:C,B33,' 2-3-6. Travel&amp;Costs of Stay'!P:P)</f>
        <v>35820</v>
      </c>
      <c r="I33" s="20">
        <f>SUMIF('4. Equipment Costs'!C:C,B33,'4. Equipment Costs'!H:H)</f>
        <v>33715</v>
      </c>
      <c r="J33" s="20">
        <f>SUMIF('5. Subcontracting Costs'!C:C,B33,'5. Subcontracting Costs'!H:H)</f>
        <v>0</v>
      </c>
      <c r="K33" s="20">
        <f>SUMIF(' 2-3-6. Travel&amp;Costs of Stay'!C:C,B33,' 2-3-6. Travel&amp;Costs of Stay'!N:N)</f>
        <v>0</v>
      </c>
      <c r="L33" s="21">
        <f t="shared" si="1"/>
        <v>88130</v>
      </c>
    </row>
    <row r="34" spans="2:12" x14ac:dyDescent="0.25">
      <c r="B34" s="48" t="s">
        <v>15</v>
      </c>
      <c r="C34" s="22" t="s">
        <v>365</v>
      </c>
      <c r="D34" s="18" t="s">
        <v>106</v>
      </c>
      <c r="E34" s="19" t="str">
        <f t="shared" si="0"/>
        <v>Partner Countries</v>
      </c>
      <c r="F34" s="20">
        <f>SUMIF('1. Staff costs'!C:C,B34,'1. Staff costs'!S:S)</f>
        <v>9000</v>
      </c>
      <c r="G34" s="20">
        <f>SUMIF(' 2-3-6. Travel&amp;Costs of Stay'!C:C,B34,' 2-3-6. Travel&amp;Costs of Stay'!O:O)</f>
        <v>11520</v>
      </c>
      <c r="H34" s="20">
        <f>SUMIF(' 2-3-6. Travel&amp;Costs of Stay'!C:C,B34,' 2-3-6. Travel&amp;Costs of Stay'!P:P)</f>
        <v>36420</v>
      </c>
      <c r="I34" s="20">
        <f>SUMIF('4. Equipment Costs'!C:C,B34,'4. Equipment Costs'!H:H)</f>
        <v>17927</v>
      </c>
      <c r="J34" s="20">
        <f>SUMIF('5. Subcontracting Costs'!C:C,B34,'5. Subcontracting Costs'!H:H)</f>
        <v>0</v>
      </c>
      <c r="K34" s="20">
        <f>SUMIF(' 2-3-6. Travel&amp;Costs of Stay'!C:C,B34,' 2-3-6. Travel&amp;Costs of Stay'!N:N)</f>
        <v>0</v>
      </c>
      <c r="L34" s="21">
        <f t="shared" si="1"/>
        <v>74867</v>
      </c>
    </row>
    <row r="35" spans="2:12" x14ac:dyDescent="0.25">
      <c r="B35" s="48" t="s">
        <v>16</v>
      </c>
      <c r="C35" s="22" t="s">
        <v>366</v>
      </c>
      <c r="D35" s="18" t="s">
        <v>106</v>
      </c>
      <c r="E35" s="19" t="str">
        <f t="shared" si="0"/>
        <v>Partner Countries</v>
      </c>
      <c r="F35" s="20">
        <f>SUMIF('1. Staff costs'!C:C,B35,'1. Staff costs'!S:S)</f>
        <v>9000</v>
      </c>
      <c r="G35" s="20">
        <f>SUMIF(' 2-3-6. Travel&amp;Costs of Stay'!C:C,B35,' 2-3-6. Travel&amp;Costs of Stay'!O:O)</f>
        <v>11435</v>
      </c>
      <c r="H35" s="20">
        <f>SUMIF(' 2-3-6. Travel&amp;Costs of Stay'!C:C,B35,' 2-3-6. Travel&amp;Costs of Stay'!P:P)</f>
        <v>36420</v>
      </c>
      <c r="I35" s="20">
        <f>SUMIF('4. Equipment Costs'!C:C,B35,'4. Equipment Costs'!H:H)</f>
        <v>17927</v>
      </c>
      <c r="J35" s="20">
        <f>SUMIF('5. Subcontracting Costs'!C:C,B35,'5. Subcontracting Costs'!H:H)</f>
        <v>0</v>
      </c>
      <c r="K35" s="20">
        <f>SUMIF(' 2-3-6. Travel&amp;Costs of Stay'!C:C,B35,' 2-3-6. Travel&amp;Costs of Stay'!N:N)</f>
        <v>0</v>
      </c>
      <c r="L35" s="21">
        <f t="shared" si="1"/>
        <v>74782</v>
      </c>
    </row>
    <row r="36" spans="2:12" x14ac:dyDescent="0.25">
      <c r="B36" s="48" t="s">
        <v>17</v>
      </c>
      <c r="C36" s="22" t="s">
        <v>367</v>
      </c>
      <c r="D36" s="18" t="s">
        <v>35</v>
      </c>
      <c r="E36" s="19" t="str">
        <f t="shared" si="0"/>
        <v>Programme Countries</v>
      </c>
      <c r="F36" s="20">
        <f>SUMIF('1. Staff costs'!C:C,B36,'1. Staff costs'!S:S)</f>
        <v>18030</v>
      </c>
      <c r="G36" s="20">
        <f>SUMIF(' 2-3-6. Travel&amp;Costs of Stay'!C:C,B36,' 2-3-6. Travel&amp;Costs of Stay'!O:O)</f>
        <v>7775</v>
      </c>
      <c r="H36" s="20">
        <f>SUMIF(' 2-3-6. Travel&amp;Costs of Stay'!C:C,B36,' 2-3-6. Travel&amp;Costs of Stay'!P:P)</f>
        <v>5040</v>
      </c>
      <c r="I36" s="20">
        <f>SUMIF('4. Equipment Costs'!C:C,B36,'4. Equipment Costs'!H:H)</f>
        <v>0</v>
      </c>
      <c r="J36" s="20">
        <f>SUMIF('5. Subcontracting Costs'!C:C,B36,'5. Subcontracting Costs'!H:H)</f>
        <v>0</v>
      </c>
      <c r="K36" s="20">
        <f>SUMIF(' 2-3-6. Travel&amp;Costs of Stay'!C:C,B36,' 2-3-6. Travel&amp;Costs of Stay'!N:N)</f>
        <v>0</v>
      </c>
      <c r="L36" s="21">
        <f t="shared" si="1"/>
        <v>30845</v>
      </c>
    </row>
    <row r="37" spans="2:12" x14ac:dyDescent="0.25">
      <c r="B37" s="48" t="s">
        <v>18</v>
      </c>
      <c r="C37" s="22" t="s">
        <v>368</v>
      </c>
      <c r="D37" s="18" t="s">
        <v>36</v>
      </c>
      <c r="E37" s="19" t="str">
        <f t="shared" si="0"/>
        <v>Programme Countries</v>
      </c>
      <c r="F37" s="20">
        <f>SUMIF('1. Staff costs'!C:C,B37,'1. Staff costs'!S:S)</f>
        <v>13910</v>
      </c>
      <c r="G37" s="20">
        <f>SUMIF(' 2-3-6. Travel&amp;Costs of Stay'!C:C,B37,' 2-3-6. Travel&amp;Costs of Stay'!O:O)</f>
        <v>7775</v>
      </c>
      <c r="H37" s="20">
        <f>SUMIF(' 2-3-6. Travel&amp;Costs of Stay'!C:C,B37,' 2-3-6. Travel&amp;Costs of Stay'!P:P)</f>
        <v>5040</v>
      </c>
      <c r="I37" s="20">
        <f>SUMIF('4. Equipment Costs'!C:C,B37,'4. Equipment Costs'!H:H)</f>
        <v>0</v>
      </c>
      <c r="J37" s="20">
        <f>SUMIF('5. Subcontracting Costs'!C:C,B37,'5. Subcontracting Costs'!H:H)</f>
        <v>0</v>
      </c>
      <c r="K37" s="20">
        <f>SUMIF(' 2-3-6. Travel&amp;Costs of Stay'!C:C,B37,' 2-3-6. Travel&amp;Costs of Stay'!N:N)</f>
        <v>0</v>
      </c>
      <c r="L37" s="21">
        <f t="shared" si="1"/>
        <v>26725</v>
      </c>
    </row>
    <row r="38" spans="2:12" x14ac:dyDescent="0.25">
      <c r="B38" s="48" t="s">
        <v>19</v>
      </c>
      <c r="C38" s="22"/>
      <c r="D38" s="18"/>
      <c r="E38" s="19" t="str">
        <f t="shared" si="0"/>
        <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25">
      <c r="B39" s="48" t="s">
        <v>156</v>
      </c>
      <c r="C39" s="22"/>
      <c r="D39" s="18"/>
      <c r="E39" s="19" t="str">
        <f t="shared" si="0"/>
        <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25">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25">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25">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25">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25">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2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2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2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2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2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2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2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2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2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2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2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2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2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2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2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2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2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2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2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2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2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2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2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2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2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2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2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2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2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2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2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2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2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2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2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2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2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password="E359" sheet="1" objects="1" scenarios="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0:L20"/>
    <mergeCell ref="I19:L19"/>
    <mergeCell ref="I18:L18"/>
    <mergeCell ref="E22:H22"/>
    <mergeCell ref="I22:L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1809" priority="18">
      <formula>D17&gt;ROUND(D23*0.4,2)</formula>
    </cfRule>
  </conditionalFormatting>
  <conditionalFormatting sqref="D20">
    <cfRule type="expression" dxfId="1808" priority="16">
      <formula>D20&gt;ROUND(D23*0.3,2)</formula>
    </cfRule>
  </conditionalFormatting>
  <conditionalFormatting sqref="D21">
    <cfRule type="expression" dxfId="1807" priority="14">
      <formula>D21&gt;ROUND(D23*0.1,2)</formula>
    </cfRule>
  </conditionalFormatting>
  <conditionalFormatting sqref="D23">
    <cfRule type="cellIs" dxfId="1806" priority="12" operator="notBetween">
      <formula>500000</formula>
      <formula>1000000</formula>
    </cfRule>
  </conditionalFormatting>
  <conditionalFormatting sqref="E18 I18">
    <cfRule type="cellIs" dxfId="1805" priority="2" operator="equal">
      <formula>"Exceptional travel costs exceed 80% of total travel costs"</formula>
    </cfRule>
  </conditionalFormatting>
  <conditionalFormatting sqref="I19">
    <cfRule type="cellIs" dxfId="1804"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A1:B7"/>
  <sheetViews>
    <sheetView zoomScaleNormal="100" workbookViewId="0"/>
  </sheetViews>
  <sheetFormatPr baseColWidth="10" defaultColWidth="9.140625" defaultRowHeight="15" x14ac:dyDescent="0.25"/>
  <cols>
    <col min="1" max="1" width="30.28515625" style="92" customWidth="1"/>
    <col min="2" max="2" width="77.140625" style="92" bestFit="1" customWidth="1"/>
    <col min="3" max="3" width="10.42578125" style="92" customWidth="1"/>
    <col min="4" max="16384" width="9.140625" style="92"/>
  </cols>
  <sheetData>
    <row r="1" spans="1:2" ht="15.75" x14ac:dyDescent="0.25">
      <c r="A1" s="87" t="s">
        <v>341</v>
      </c>
      <c r="B1" s="88"/>
    </row>
    <row r="2" spans="1:2" x14ac:dyDescent="0.25">
      <c r="A2" s="89" t="s">
        <v>166</v>
      </c>
      <c r="B2" s="93" t="str">
        <f>IF(COUNTIF('1. Staff costs'!T:T,"Error")&lt;=1,"OK","Please check data in Tab '"&amp;A2&amp;"'")</f>
        <v>OK</v>
      </c>
    </row>
    <row r="3" spans="1:2" x14ac:dyDescent="0.25">
      <c r="A3" s="90" t="s">
        <v>340</v>
      </c>
      <c r="B3" s="94" t="str">
        <f>IF(COUNTIF(' 2-3-6. Travel&amp;Costs of Stay'!R:R,"Error")&lt;=1,"OK","Please check data in Tab '"&amp;A3&amp;"'")</f>
        <v>OK</v>
      </c>
    </row>
    <row r="4" spans="1:2" x14ac:dyDescent="0.25">
      <c r="A4" s="90" t="s">
        <v>185</v>
      </c>
      <c r="B4" s="94" t="str">
        <f>IF(COUNTIF('4. Equipment Costs'!I:T,"Error")&lt;=1,"OK","Please check data in Tab '"&amp;A4&amp;"'")</f>
        <v>OK</v>
      </c>
    </row>
    <row r="5" spans="1:2" x14ac:dyDescent="0.25">
      <c r="A5" s="90" t="s">
        <v>186</v>
      </c>
      <c r="B5" s="94" t="str">
        <f>IF(COUNTIF('5. Subcontracting Costs'!I:I,"Error")&lt;=1,"OK","Please check data in Tab '"&amp;A5&amp;"'")</f>
        <v>OK</v>
      </c>
    </row>
    <row r="6" spans="1:2" x14ac:dyDescent="0.25">
      <c r="A6" s="90" t="s">
        <v>339</v>
      </c>
      <c r="B6" s="94" t="str">
        <f>IF(COUNTIF('Co-financing'!J:J,"Error")&lt;=1,"OK","Please check data in Tab '"&amp;A6&amp;"'")</f>
        <v>OK</v>
      </c>
    </row>
    <row r="7" spans="1:2" x14ac:dyDescent="0.25">
      <c r="A7" s="91" t="s">
        <v>338</v>
      </c>
      <c r="B7" s="95" t="str">
        <f>IF(' 2-3-6. Travel&amp;Costs of Stay'!K4="","OK","Please check Exceptional Travel Costs (EUR) in Tab '"&amp;A3&amp;"'")</f>
        <v>OK</v>
      </c>
    </row>
  </sheetData>
  <conditionalFormatting sqref="B2:B7">
    <cfRule type="cellIs" dxfId="1802" priority="5" operator="notEqual">
      <formula>"OK"</formula>
    </cfRule>
    <cfRule type="cellIs" dxfId="1801"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66"/>
  <sheetViews>
    <sheetView showGridLines="0" zoomScale="70" zoomScaleNormal="70" zoomScaleSheetLayoutView="55" workbookViewId="0">
      <pane ySplit="13" topLeftCell="A14" activePane="bottomLeft" state="frozen"/>
      <selection pane="bottomLeft" activeCell="B23" sqref="B23"/>
    </sheetView>
  </sheetViews>
  <sheetFormatPr baseColWidth="10"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4" customFormat="1" ht="39.950000000000003" customHeight="1" x14ac:dyDescent="0.25">
      <c r="B2" s="132" t="s">
        <v>166</v>
      </c>
      <c r="C2" s="132"/>
      <c r="D2" s="132"/>
      <c r="E2" s="132"/>
      <c r="F2" s="132"/>
      <c r="G2" s="132"/>
      <c r="H2" s="132"/>
      <c r="I2" s="132"/>
      <c r="J2" s="132"/>
      <c r="K2" s="132"/>
      <c r="L2" s="132"/>
      <c r="M2" s="132"/>
      <c r="N2" s="132"/>
      <c r="O2" s="132"/>
      <c r="P2" s="132"/>
      <c r="Q2" s="132"/>
      <c r="R2" s="132"/>
      <c r="S2" s="132"/>
      <c r="T2" s="132"/>
    </row>
    <row r="3" spans="2:20" s="24" customFormat="1" ht="8.1" customHeight="1" x14ac:dyDescent="0.25">
      <c r="B3" s="151"/>
      <c r="C3" s="152"/>
      <c r="D3" s="152"/>
      <c r="E3" s="152"/>
      <c r="F3" s="152"/>
      <c r="G3" s="152"/>
      <c r="H3" s="152"/>
      <c r="I3" s="152"/>
      <c r="J3" s="152"/>
      <c r="K3" s="152"/>
      <c r="L3" s="152"/>
      <c r="M3" s="152"/>
      <c r="N3" s="152"/>
      <c r="O3" s="152"/>
      <c r="P3" s="152"/>
      <c r="Q3" s="152"/>
      <c r="R3" s="152"/>
      <c r="S3" s="152"/>
      <c r="T3" s="153"/>
    </row>
    <row r="4" spans="2:20" s="24" customFormat="1" ht="20.100000000000001" customHeight="1" x14ac:dyDescent="0.25">
      <c r="B4" s="143"/>
      <c r="C4" s="144"/>
      <c r="D4" s="44" t="s">
        <v>184</v>
      </c>
      <c r="E4" s="44" t="s">
        <v>182</v>
      </c>
      <c r="F4" s="147"/>
      <c r="G4" s="148"/>
      <c r="H4" s="148"/>
      <c r="I4" s="148"/>
      <c r="J4" s="148"/>
      <c r="K4" s="148"/>
      <c r="L4" s="148"/>
      <c r="M4" s="148"/>
      <c r="N4" s="148"/>
      <c r="O4" s="148"/>
      <c r="P4" s="148"/>
      <c r="Q4" s="148"/>
      <c r="R4" s="148"/>
      <c r="S4" s="148"/>
      <c r="T4" s="149"/>
    </row>
    <row r="5" spans="2:20" s="24" customFormat="1" ht="20.100000000000001" customHeight="1" x14ac:dyDescent="0.25">
      <c r="B5" s="139" t="s">
        <v>131</v>
      </c>
      <c r="C5" s="140"/>
      <c r="D5" s="45">
        <f>SUM(H:H)</f>
        <v>165539</v>
      </c>
      <c r="E5" s="28">
        <f>SUMIF(T:T,"&lt;&gt;Error",F:F)</f>
        <v>693</v>
      </c>
      <c r="F5" s="147"/>
      <c r="G5" s="148"/>
      <c r="H5" s="148"/>
      <c r="I5" s="148"/>
      <c r="J5" s="148"/>
      <c r="K5" s="148"/>
      <c r="L5" s="148"/>
      <c r="M5" s="148"/>
      <c r="N5" s="148"/>
      <c r="O5" s="148"/>
      <c r="P5" s="148"/>
      <c r="Q5" s="148"/>
      <c r="R5" s="148"/>
      <c r="S5" s="148"/>
      <c r="T5" s="149"/>
    </row>
    <row r="6" spans="2:20" s="24" customFormat="1" ht="20.100000000000001" customHeight="1" x14ac:dyDescent="0.25">
      <c r="B6" s="141" t="s">
        <v>129</v>
      </c>
      <c r="C6" s="142"/>
      <c r="D6" s="45">
        <f>SUM(K:K)</f>
        <v>104276</v>
      </c>
      <c r="E6" s="28">
        <f>SUMIF(T:T,"&lt;&gt;Error",I:I)</f>
        <v>1017</v>
      </c>
      <c r="F6" s="147"/>
      <c r="G6" s="148"/>
      <c r="H6" s="148"/>
      <c r="I6" s="148"/>
      <c r="J6" s="148"/>
      <c r="K6" s="148"/>
      <c r="L6" s="148"/>
      <c r="M6" s="148"/>
      <c r="N6" s="148"/>
      <c r="O6" s="148"/>
      <c r="P6" s="148"/>
      <c r="Q6" s="148"/>
      <c r="R6" s="148"/>
      <c r="S6" s="148"/>
      <c r="T6" s="149"/>
    </row>
    <row r="7" spans="2:20" s="24" customFormat="1" ht="20.100000000000001" customHeight="1" x14ac:dyDescent="0.25">
      <c r="B7" s="139" t="s">
        <v>316</v>
      </c>
      <c r="C7" s="140"/>
      <c r="D7" s="45">
        <f>SUM(N:N)</f>
        <v>0</v>
      </c>
      <c r="E7" s="28">
        <f>SUMIF(T:T,"&lt;&gt;Error",L:L)</f>
        <v>0</v>
      </c>
      <c r="F7" s="147"/>
      <c r="G7" s="148"/>
      <c r="H7" s="148"/>
      <c r="I7" s="148"/>
      <c r="J7" s="148"/>
      <c r="K7" s="148"/>
      <c r="L7" s="148"/>
      <c r="M7" s="148"/>
      <c r="N7" s="148"/>
      <c r="O7" s="148"/>
      <c r="P7" s="148"/>
      <c r="Q7" s="148"/>
      <c r="R7" s="148"/>
      <c r="S7" s="148"/>
      <c r="T7" s="149"/>
    </row>
    <row r="8" spans="2:20" s="24" customFormat="1" ht="20.100000000000001" customHeight="1" x14ac:dyDescent="0.25">
      <c r="B8" s="139" t="s">
        <v>315</v>
      </c>
      <c r="C8" s="140"/>
      <c r="D8" s="45">
        <f>SUM(Q:Q)</f>
        <v>0</v>
      </c>
      <c r="E8" s="28">
        <f>SUMIF(T:T,"&lt;&gt;Error",O:O)</f>
        <v>0</v>
      </c>
      <c r="F8" s="147"/>
      <c r="G8" s="148"/>
      <c r="H8" s="148"/>
      <c r="I8" s="148"/>
      <c r="J8" s="148"/>
      <c r="K8" s="148"/>
      <c r="L8" s="148"/>
      <c r="M8" s="148"/>
      <c r="N8" s="148"/>
      <c r="O8" s="148"/>
      <c r="P8" s="148"/>
      <c r="Q8" s="148"/>
      <c r="R8" s="148"/>
      <c r="S8" s="148"/>
      <c r="T8" s="149"/>
    </row>
    <row r="9" spans="2:20" s="24" customFormat="1" ht="20.100000000000001" customHeight="1" x14ac:dyDescent="0.25">
      <c r="B9" s="145"/>
      <c r="C9" s="146"/>
      <c r="D9" s="30">
        <f>SUM(D5:D8)</f>
        <v>269815</v>
      </c>
      <c r="E9" s="29">
        <f>SUM(E5:E8)</f>
        <v>1710</v>
      </c>
      <c r="F9" s="147"/>
      <c r="G9" s="148"/>
      <c r="H9" s="148"/>
      <c r="I9" s="148"/>
      <c r="J9" s="148"/>
      <c r="K9" s="148"/>
      <c r="L9" s="148"/>
      <c r="M9" s="148"/>
      <c r="N9" s="148"/>
      <c r="O9" s="148"/>
      <c r="P9" s="148"/>
      <c r="Q9" s="148"/>
      <c r="R9" s="148"/>
      <c r="S9" s="148"/>
      <c r="T9" s="149"/>
    </row>
    <row r="10" spans="2:20" s="24" customFormat="1" ht="8.1" customHeight="1" x14ac:dyDescent="0.25">
      <c r="B10" s="143"/>
      <c r="C10" s="150"/>
      <c r="D10" s="150"/>
      <c r="E10" s="150"/>
      <c r="F10" s="150"/>
      <c r="G10" s="150"/>
      <c r="H10" s="150"/>
      <c r="I10" s="150"/>
      <c r="J10" s="150"/>
      <c r="K10" s="150"/>
      <c r="L10" s="150"/>
      <c r="M10" s="150"/>
      <c r="N10" s="150"/>
      <c r="O10" s="150"/>
      <c r="P10" s="150"/>
      <c r="Q10" s="150"/>
      <c r="R10" s="150"/>
      <c r="S10" s="150"/>
      <c r="T10" s="144"/>
    </row>
    <row r="11" spans="2:20" s="49" customFormat="1" ht="23.1" customHeight="1" x14ac:dyDescent="0.25">
      <c r="B11" s="133" t="s">
        <v>162</v>
      </c>
      <c r="C11" s="133" t="s">
        <v>147</v>
      </c>
      <c r="D11" s="133" t="s">
        <v>216</v>
      </c>
      <c r="E11" s="133" t="s">
        <v>217</v>
      </c>
      <c r="F11" s="135" t="str">
        <f>'Unit Costs &amp; Funding Rule'!D7</f>
        <v>Manager</v>
      </c>
      <c r="G11" s="135"/>
      <c r="H11" s="135"/>
      <c r="I11" s="136" t="str">
        <f>'Unit Costs &amp; Funding Rule'!E7</f>
        <v>Teacher/Trainer/Researcher</v>
      </c>
      <c r="J11" s="137"/>
      <c r="K11" s="138"/>
      <c r="L11" s="135" t="str">
        <f>'Unit Costs &amp; Funding Rule'!F7</f>
        <v>Technical Staff</v>
      </c>
      <c r="M11" s="135"/>
      <c r="N11" s="135"/>
      <c r="O11" s="135" t="str">
        <f>'Unit Costs &amp; Funding Rule'!G7</f>
        <v>Administrative Staff</v>
      </c>
      <c r="P11" s="135"/>
      <c r="Q11" s="135"/>
      <c r="R11" s="133" t="s">
        <v>198</v>
      </c>
      <c r="S11" s="133" t="s">
        <v>163</v>
      </c>
      <c r="T11" s="133" t="s">
        <v>218</v>
      </c>
    </row>
    <row r="12" spans="2:20" s="49" customFormat="1" ht="42" customHeight="1" x14ac:dyDescent="0.25">
      <c r="B12" s="134"/>
      <c r="C12" s="134"/>
      <c r="D12" s="134"/>
      <c r="E12" s="134"/>
      <c r="F12" s="50" t="s">
        <v>207</v>
      </c>
      <c r="G12" s="31" t="s">
        <v>211</v>
      </c>
      <c r="H12" s="50" t="s">
        <v>164</v>
      </c>
      <c r="I12" s="50" t="s">
        <v>207</v>
      </c>
      <c r="J12" s="31" t="s">
        <v>211</v>
      </c>
      <c r="K12" s="50" t="s">
        <v>164</v>
      </c>
      <c r="L12" s="50" t="s">
        <v>207</v>
      </c>
      <c r="M12" s="31" t="s">
        <v>211</v>
      </c>
      <c r="N12" s="50" t="s">
        <v>164</v>
      </c>
      <c r="O12" s="50" t="s">
        <v>207</v>
      </c>
      <c r="P12" s="31" t="s">
        <v>211</v>
      </c>
      <c r="Q12" s="50" t="s">
        <v>164</v>
      </c>
      <c r="R12" s="134"/>
      <c r="S12" s="134"/>
      <c r="T12" s="134"/>
    </row>
    <row r="13" spans="2:20" s="38" customFormat="1" hidden="1" x14ac:dyDescent="0.2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25">
      <c r="B14" s="18" t="s">
        <v>173</v>
      </c>
      <c r="C14" s="23" t="s">
        <v>8</v>
      </c>
      <c r="D14" s="46" t="str">
        <f t="shared" si="0"/>
        <v>Université Paris Diderot</v>
      </c>
      <c r="E14" s="46" t="str">
        <f t="shared" si="1"/>
        <v>France</v>
      </c>
      <c r="F14" s="32">
        <v>0</v>
      </c>
      <c r="G14" s="33">
        <f t="shared" si="2"/>
        <v>280</v>
      </c>
      <c r="H14" s="34">
        <f t="shared" si="3"/>
        <v>0</v>
      </c>
      <c r="I14" s="32">
        <v>10</v>
      </c>
      <c r="J14" s="33">
        <f t="shared" si="4"/>
        <v>214</v>
      </c>
      <c r="K14" s="34">
        <f t="shared" si="5"/>
        <v>2140</v>
      </c>
      <c r="L14" s="32">
        <v>0</v>
      </c>
      <c r="M14" s="33">
        <f t="shared" si="6"/>
        <v>162</v>
      </c>
      <c r="N14" s="34">
        <f t="shared" si="7"/>
        <v>0</v>
      </c>
      <c r="O14" s="32">
        <v>0</v>
      </c>
      <c r="P14" s="33">
        <f t="shared" si="8"/>
        <v>131</v>
      </c>
      <c r="Q14" s="34">
        <f t="shared" si="9"/>
        <v>0</v>
      </c>
      <c r="R14" s="35">
        <f t="shared" si="10"/>
        <v>10</v>
      </c>
      <c r="S14" s="36">
        <f t="shared" si="11"/>
        <v>2140</v>
      </c>
      <c r="T14" s="37" t="str">
        <f t="shared" si="12"/>
        <v/>
      </c>
    </row>
    <row r="15" spans="2:20" s="38" customFormat="1" x14ac:dyDescent="0.25">
      <c r="B15" s="18" t="s">
        <v>173</v>
      </c>
      <c r="C15" s="23" t="s">
        <v>9</v>
      </c>
      <c r="D15" s="46" t="str">
        <f t="shared" ref="D15:D66" si="13">IFERROR(IF(VLOOKUP(C15,PartnerN°Ref,2,FALSE)=0,"",VLOOKUP(C15,PartnerN°Ref,2,FALSE)),"")</f>
        <v>Universidad Industrial de Santander</v>
      </c>
      <c r="E15" s="46" t="str">
        <f t="shared" ref="E15:E66" si="14">IFERROR(IF(OR(VLOOKUP(C15,PartnerN°Ref,4,FALSE)="Country not found",VLOOKUP(C15,PartnerN°Ref,3,FALSE)=0),"",VLOOKUP(C15,PartnerN°Ref,3,FALSE)),"")</f>
        <v>Colombia</v>
      </c>
      <c r="F15" s="32">
        <v>0</v>
      </c>
      <c r="G15" s="33">
        <f t="shared" ref="G15:G66" si="15">IF(T15="Error",0,INDEX(Rates,MATCH(E15,CountryALL,0),MATCH($F$11,Category,0)))</f>
        <v>108</v>
      </c>
      <c r="H15" s="34">
        <f t="shared" ref="H15:H66" si="16">IFERROR(IF(T15="Error",0,ROUND(F15*G15,2)),0)</f>
        <v>0</v>
      </c>
      <c r="I15" s="32">
        <v>4</v>
      </c>
      <c r="J15" s="33">
        <f t="shared" ref="J15:J66" si="17">IF(T15="Error",0,INDEX(Rates,MATCH(E15,CountryALL,0),MATCH($I$11,Category,0)))</f>
        <v>80</v>
      </c>
      <c r="K15" s="34">
        <f t="shared" ref="K15:K66" si="18">IFERROR(IF(T15="Error",0,ROUND(I15*J15,2)),0)</f>
        <v>320</v>
      </c>
      <c r="L15" s="32">
        <v>0</v>
      </c>
      <c r="M15" s="33">
        <f t="shared" ref="M15:M66" si="19">IF(T15="Error",0,INDEX(Rates,MATCH(E15,CountryALL,0),MATCH($L$11,Category,0)))</f>
        <v>57</v>
      </c>
      <c r="N15" s="34">
        <f t="shared" ref="N15:N66" si="20">IFERROR(IF(T15="Error",0,ROUND(L15*M15,2)),0)</f>
        <v>0</v>
      </c>
      <c r="O15" s="32">
        <v>0</v>
      </c>
      <c r="P15" s="33">
        <f t="shared" ref="P15:P66" si="21">IF(T15="Error",0,INDEX(Rates,MATCH(E15,CountryALL,0),MATCH($O$11,Category,0)))</f>
        <v>45</v>
      </c>
      <c r="Q15" s="34">
        <f t="shared" ref="Q15:Q66" si="22">IFERROR(IF(T15="Error",0,ROUND(O15*P15,2)),0)</f>
        <v>0</v>
      </c>
      <c r="R15" s="35">
        <f t="shared" ref="R15:R66" si="23">IF(T15="Error",0,F15+I15+L15+O15)</f>
        <v>4</v>
      </c>
      <c r="S15" s="36">
        <f t="shared" ref="S15:S66" si="24">IF(T15="Error",0,H15+K15+N15+Q15)</f>
        <v>320</v>
      </c>
      <c r="T15" s="37" t="str">
        <f t="shared" ref="T15:T66"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25">
      <c r="B16" s="18" t="s">
        <v>173</v>
      </c>
      <c r="C16" s="23" t="s">
        <v>10</v>
      </c>
      <c r="D16" s="46" t="str">
        <f t="shared" si="13"/>
        <v>UNIVERSIDAD ANTONIO NARINO</v>
      </c>
      <c r="E16" s="46" t="str">
        <f t="shared" si="14"/>
        <v>Colombia</v>
      </c>
      <c r="F16" s="32">
        <v>0</v>
      </c>
      <c r="G16" s="33">
        <f t="shared" si="15"/>
        <v>108</v>
      </c>
      <c r="H16" s="34">
        <f t="shared" si="16"/>
        <v>0</v>
      </c>
      <c r="I16" s="32">
        <v>16</v>
      </c>
      <c r="J16" s="33">
        <f t="shared" si="17"/>
        <v>80</v>
      </c>
      <c r="K16" s="34">
        <f t="shared" si="18"/>
        <v>1280</v>
      </c>
      <c r="L16" s="32">
        <v>0</v>
      </c>
      <c r="M16" s="33">
        <f t="shared" si="19"/>
        <v>57</v>
      </c>
      <c r="N16" s="34">
        <f t="shared" si="20"/>
        <v>0</v>
      </c>
      <c r="O16" s="32">
        <v>0</v>
      </c>
      <c r="P16" s="33">
        <f t="shared" si="21"/>
        <v>45</v>
      </c>
      <c r="Q16" s="34">
        <f t="shared" si="22"/>
        <v>0</v>
      </c>
      <c r="R16" s="35">
        <f t="shared" si="23"/>
        <v>16</v>
      </c>
      <c r="S16" s="36">
        <f t="shared" si="24"/>
        <v>1280</v>
      </c>
      <c r="T16" s="37" t="str">
        <f t="shared" si="25"/>
        <v/>
      </c>
    </row>
    <row r="17" spans="2:20" s="38" customFormat="1" x14ac:dyDescent="0.25">
      <c r="B17" s="18" t="s">
        <v>173</v>
      </c>
      <c r="C17" s="23" t="s">
        <v>11</v>
      </c>
      <c r="D17" s="46" t="str">
        <f t="shared" si="13"/>
        <v>UNIVERSIDAD SAN FRANCISCO DE QUITO</v>
      </c>
      <c r="E17" s="46" t="str">
        <f t="shared" si="14"/>
        <v>Ecuador</v>
      </c>
      <c r="F17" s="32">
        <v>0</v>
      </c>
      <c r="G17" s="33">
        <f t="shared" si="15"/>
        <v>77</v>
      </c>
      <c r="H17" s="34">
        <f t="shared" si="16"/>
        <v>0</v>
      </c>
      <c r="I17" s="32">
        <v>4</v>
      </c>
      <c r="J17" s="33">
        <f t="shared" si="17"/>
        <v>57</v>
      </c>
      <c r="K17" s="34">
        <f t="shared" si="18"/>
        <v>228</v>
      </c>
      <c r="L17" s="32">
        <v>0</v>
      </c>
      <c r="M17" s="33">
        <f t="shared" si="19"/>
        <v>40</v>
      </c>
      <c r="N17" s="34">
        <f t="shared" si="20"/>
        <v>0</v>
      </c>
      <c r="O17" s="32">
        <v>0</v>
      </c>
      <c r="P17" s="33">
        <f t="shared" si="21"/>
        <v>32</v>
      </c>
      <c r="Q17" s="34">
        <f t="shared" si="22"/>
        <v>0</v>
      </c>
      <c r="R17" s="35">
        <f t="shared" si="23"/>
        <v>4</v>
      </c>
      <c r="S17" s="36">
        <f t="shared" si="24"/>
        <v>228</v>
      </c>
      <c r="T17" s="37" t="str">
        <f t="shared" si="25"/>
        <v/>
      </c>
    </row>
    <row r="18" spans="2:20" s="38" customFormat="1" x14ac:dyDescent="0.25">
      <c r="B18" s="18" t="s">
        <v>173</v>
      </c>
      <c r="C18" s="23" t="s">
        <v>12</v>
      </c>
      <c r="D18" s="46" t="str">
        <f t="shared" si="13"/>
        <v>UNIVERSIDADDE INVESTIGACIONDE TECNOLOGIA EXPERIMENTAL YACHAY</v>
      </c>
      <c r="E18" s="46" t="str">
        <f t="shared" si="14"/>
        <v>Ecuador</v>
      </c>
      <c r="F18" s="32">
        <v>0</v>
      </c>
      <c r="G18" s="33">
        <f t="shared" si="15"/>
        <v>77</v>
      </c>
      <c r="H18" s="34">
        <f t="shared" si="16"/>
        <v>0</v>
      </c>
      <c r="I18" s="32">
        <v>4</v>
      </c>
      <c r="J18" s="33">
        <f t="shared" si="17"/>
        <v>57</v>
      </c>
      <c r="K18" s="34">
        <f t="shared" si="18"/>
        <v>228</v>
      </c>
      <c r="L18" s="32">
        <v>0</v>
      </c>
      <c r="M18" s="33">
        <f t="shared" si="19"/>
        <v>40</v>
      </c>
      <c r="N18" s="34">
        <f t="shared" si="20"/>
        <v>0</v>
      </c>
      <c r="O18" s="32">
        <v>0</v>
      </c>
      <c r="P18" s="33">
        <f t="shared" si="21"/>
        <v>32</v>
      </c>
      <c r="Q18" s="34">
        <f t="shared" si="22"/>
        <v>0</v>
      </c>
      <c r="R18" s="35">
        <f t="shared" si="23"/>
        <v>4</v>
      </c>
      <c r="S18" s="36">
        <f t="shared" si="24"/>
        <v>228</v>
      </c>
      <c r="T18" s="37" t="str">
        <f t="shared" si="25"/>
        <v/>
      </c>
    </row>
    <row r="19" spans="2:20" s="38" customFormat="1" x14ac:dyDescent="0.25">
      <c r="B19" s="18" t="s">
        <v>173</v>
      </c>
      <c r="C19" s="23" t="s">
        <v>13</v>
      </c>
      <c r="D19" s="46" t="str">
        <f t="shared" si="13"/>
        <v>UNIVERSIDAD NACIONAL MAYOR DE SAN MARCOS</v>
      </c>
      <c r="E19" s="46" t="str">
        <f t="shared" si="14"/>
        <v>Peru</v>
      </c>
      <c r="F19" s="32">
        <v>8</v>
      </c>
      <c r="G19" s="33">
        <f t="shared" si="15"/>
        <v>108</v>
      </c>
      <c r="H19" s="34">
        <f t="shared" si="16"/>
        <v>864</v>
      </c>
      <c r="I19" s="32">
        <v>12</v>
      </c>
      <c r="J19" s="33">
        <f t="shared" si="17"/>
        <v>80</v>
      </c>
      <c r="K19" s="34">
        <f t="shared" si="18"/>
        <v>960</v>
      </c>
      <c r="L19" s="32">
        <v>0</v>
      </c>
      <c r="M19" s="33">
        <f t="shared" si="19"/>
        <v>57</v>
      </c>
      <c r="N19" s="34">
        <f t="shared" si="20"/>
        <v>0</v>
      </c>
      <c r="O19" s="32">
        <v>0</v>
      </c>
      <c r="P19" s="33">
        <f t="shared" si="21"/>
        <v>45</v>
      </c>
      <c r="Q19" s="34">
        <f t="shared" si="22"/>
        <v>0</v>
      </c>
      <c r="R19" s="35">
        <f t="shared" si="23"/>
        <v>20</v>
      </c>
      <c r="S19" s="36">
        <f t="shared" si="24"/>
        <v>1824</v>
      </c>
      <c r="T19" s="37" t="str">
        <f t="shared" si="25"/>
        <v/>
      </c>
    </row>
    <row r="20" spans="2:20" s="38" customFormat="1" x14ac:dyDescent="0.25">
      <c r="B20" s="18" t="s">
        <v>173</v>
      </c>
      <c r="C20" s="23" t="s">
        <v>14</v>
      </c>
      <c r="D20" s="46" t="str">
        <f t="shared" si="13"/>
        <v xml:space="preserve">Universidad Nacional de Ingenieria </v>
      </c>
      <c r="E20" s="46" t="str">
        <f t="shared" si="14"/>
        <v>Peru</v>
      </c>
      <c r="F20" s="32">
        <v>0</v>
      </c>
      <c r="G20" s="33">
        <f t="shared" si="15"/>
        <v>108</v>
      </c>
      <c r="H20" s="34">
        <f t="shared" si="16"/>
        <v>0</v>
      </c>
      <c r="I20" s="32">
        <v>4</v>
      </c>
      <c r="J20" s="33">
        <f t="shared" si="17"/>
        <v>80</v>
      </c>
      <c r="K20" s="34">
        <f t="shared" si="18"/>
        <v>320</v>
      </c>
      <c r="L20" s="32">
        <v>0</v>
      </c>
      <c r="M20" s="33">
        <f t="shared" si="19"/>
        <v>57</v>
      </c>
      <c r="N20" s="34">
        <f t="shared" si="20"/>
        <v>0</v>
      </c>
      <c r="O20" s="32">
        <v>0</v>
      </c>
      <c r="P20" s="33">
        <f t="shared" si="21"/>
        <v>45</v>
      </c>
      <c r="Q20" s="34">
        <f t="shared" si="22"/>
        <v>0</v>
      </c>
      <c r="R20" s="35">
        <f t="shared" si="23"/>
        <v>4</v>
      </c>
      <c r="S20" s="36">
        <f t="shared" si="24"/>
        <v>320</v>
      </c>
      <c r="T20" s="37" t="str">
        <f t="shared" si="25"/>
        <v/>
      </c>
    </row>
    <row r="21" spans="2:20" s="38" customFormat="1" x14ac:dyDescent="0.25">
      <c r="B21" s="18" t="s">
        <v>173</v>
      </c>
      <c r="C21" s="23" t="s">
        <v>15</v>
      </c>
      <c r="D21" s="46" t="str">
        <f t="shared" si="13"/>
        <v>UNIVERSIDAD CENTRAL DE VENEZUELA</v>
      </c>
      <c r="E21" s="46" t="str">
        <f t="shared" si="14"/>
        <v>Venezuela</v>
      </c>
      <c r="F21" s="32">
        <v>0</v>
      </c>
      <c r="G21" s="33">
        <f t="shared" si="15"/>
        <v>108</v>
      </c>
      <c r="H21" s="34">
        <f t="shared" si="16"/>
        <v>0</v>
      </c>
      <c r="I21" s="32">
        <v>4</v>
      </c>
      <c r="J21" s="33">
        <f t="shared" si="17"/>
        <v>80</v>
      </c>
      <c r="K21" s="34">
        <f t="shared" si="18"/>
        <v>320</v>
      </c>
      <c r="L21" s="32">
        <v>0</v>
      </c>
      <c r="M21" s="33">
        <f t="shared" si="19"/>
        <v>57</v>
      </c>
      <c r="N21" s="34">
        <f t="shared" si="20"/>
        <v>0</v>
      </c>
      <c r="O21" s="32">
        <v>0</v>
      </c>
      <c r="P21" s="33">
        <f t="shared" si="21"/>
        <v>45</v>
      </c>
      <c r="Q21" s="34">
        <f t="shared" si="22"/>
        <v>0</v>
      </c>
      <c r="R21" s="35">
        <f t="shared" si="23"/>
        <v>4</v>
      </c>
      <c r="S21" s="36">
        <f t="shared" si="24"/>
        <v>320</v>
      </c>
      <c r="T21" s="37" t="str">
        <f t="shared" si="25"/>
        <v/>
      </c>
    </row>
    <row r="22" spans="2:20" s="38" customFormat="1" x14ac:dyDescent="0.25">
      <c r="B22" s="18" t="s">
        <v>173</v>
      </c>
      <c r="C22" s="23" t="s">
        <v>16</v>
      </c>
      <c r="D22" s="46" t="str">
        <f t="shared" si="13"/>
        <v>UNIVERSIDAD SIMON BOLIVAR</v>
      </c>
      <c r="E22" s="46" t="str">
        <f t="shared" si="14"/>
        <v>Venezuela</v>
      </c>
      <c r="F22" s="32">
        <v>0</v>
      </c>
      <c r="G22" s="33">
        <f t="shared" si="15"/>
        <v>108</v>
      </c>
      <c r="H22" s="34">
        <f t="shared" si="16"/>
        <v>0</v>
      </c>
      <c r="I22" s="32">
        <v>4</v>
      </c>
      <c r="J22" s="33">
        <f t="shared" si="17"/>
        <v>80</v>
      </c>
      <c r="K22" s="34">
        <f t="shared" si="18"/>
        <v>320</v>
      </c>
      <c r="L22" s="32">
        <v>0</v>
      </c>
      <c r="M22" s="33">
        <f t="shared" si="19"/>
        <v>57</v>
      </c>
      <c r="N22" s="34">
        <f t="shared" si="20"/>
        <v>0</v>
      </c>
      <c r="O22" s="32">
        <v>0</v>
      </c>
      <c r="P22" s="33">
        <f t="shared" si="21"/>
        <v>45</v>
      </c>
      <c r="Q22" s="34">
        <f t="shared" si="22"/>
        <v>0</v>
      </c>
      <c r="R22" s="35">
        <f t="shared" si="23"/>
        <v>4</v>
      </c>
      <c r="S22" s="36">
        <f t="shared" si="24"/>
        <v>320</v>
      </c>
      <c r="T22" s="37" t="str">
        <f t="shared" si="25"/>
        <v/>
      </c>
    </row>
    <row r="23" spans="2:20" s="38" customFormat="1" x14ac:dyDescent="0.25">
      <c r="B23" s="18" t="s">
        <v>172</v>
      </c>
      <c r="C23" s="23" t="s">
        <v>8</v>
      </c>
      <c r="D23" s="46" t="str">
        <f t="shared" si="13"/>
        <v>Université Paris Diderot</v>
      </c>
      <c r="E23" s="46" t="str">
        <f t="shared" si="14"/>
        <v>France</v>
      </c>
      <c r="F23" s="32">
        <v>0</v>
      </c>
      <c r="G23" s="33">
        <f t="shared" si="15"/>
        <v>280</v>
      </c>
      <c r="H23" s="34">
        <f t="shared" si="16"/>
        <v>0</v>
      </c>
      <c r="I23" s="32">
        <v>40</v>
      </c>
      <c r="J23" s="33">
        <f t="shared" si="17"/>
        <v>214</v>
      </c>
      <c r="K23" s="34">
        <f t="shared" si="18"/>
        <v>8560</v>
      </c>
      <c r="L23" s="32">
        <v>0</v>
      </c>
      <c r="M23" s="33">
        <f t="shared" si="19"/>
        <v>162</v>
      </c>
      <c r="N23" s="34">
        <f t="shared" si="20"/>
        <v>0</v>
      </c>
      <c r="O23" s="32">
        <v>0</v>
      </c>
      <c r="P23" s="33">
        <f t="shared" si="21"/>
        <v>131</v>
      </c>
      <c r="Q23" s="34">
        <f t="shared" si="22"/>
        <v>0</v>
      </c>
      <c r="R23" s="35">
        <f t="shared" si="23"/>
        <v>40</v>
      </c>
      <c r="S23" s="36">
        <f t="shared" si="24"/>
        <v>8560</v>
      </c>
      <c r="T23" s="37" t="str">
        <f t="shared" si="25"/>
        <v/>
      </c>
    </row>
    <row r="24" spans="2:20" s="38" customFormat="1" x14ac:dyDescent="0.25">
      <c r="B24" s="18" t="s">
        <v>172</v>
      </c>
      <c r="C24" s="23" t="s">
        <v>9</v>
      </c>
      <c r="D24" s="46" t="str">
        <f t="shared" si="13"/>
        <v>Universidad Industrial de Santander</v>
      </c>
      <c r="E24" s="46" t="str">
        <f t="shared" si="14"/>
        <v>Colombia</v>
      </c>
      <c r="F24" s="32">
        <v>0</v>
      </c>
      <c r="G24" s="33">
        <f t="shared" si="15"/>
        <v>108</v>
      </c>
      <c r="H24" s="34">
        <f t="shared" si="16"/>
        <v>0</v>
      </c>
      <c r="I24" s="32">
        <v>70</v>
      </c>
      <c r="J24" s="33">
        <f t="shared" si="17"/>
        <v>80</v>
      </c>
      <c r="K24" s="34">
        <f t="shared" si="18"/>
        <v>5600</v>
      </c>
      <c r="L24" s="32">
        <v>0</v>
      </c>
      <c r="M24" s="33">
        <f t="shared" si="19"/>
        <v>57</v>
      </c>
      <c r="N24" s="34">
        <f t="shared" si="20"/>
        <v>0</v>
      </c>
      <c r="O24" s="32">
        <v>0</v>
      </c>
      <c r="P24" s="33">
        <f t="shared" si="21"/>
        <v>45</v>
      </c>
      <c r="Q24" s="34">
        <f t="shared" si="22"/>
        <v>0</v>
      </c>
      <c r="R24" s="35">
        <f t="shared" si="23"/>
        <v>70</v>
      </c>
      <c r="S24" s="36">
        <f t="shared" si="24"/>
        <v>5600</v>
      </c>
      <c r="T24" s="37" t="str">
        <f t="shared" si="25"/>
        <v/>
      </c>
    </row>
    <row r="25" spans="2:20" s="38" customFormat="1" x14ac:dyDescent="0.25">
      <c r="B25" s="18" t="s">
        <v>172</v>
      </c>
      <c r="C25" s="23" t="s">
        <v>10</v>
      </c>
      <c r="D25" s="46" t="str">
        <f t="shared" si="13"/>
        <v>UNIVERSIDAD ANTONIO NARINO</v>
      </c>
      <c r="E25" s="46" t="str">
        <f t="shared" si="14"/>
        <v>Colombia</v>
      </c>
      <c r="F25" s="32">
        <v>40</v>
      </c>
      <c r="G25" s="33">
        <f t="shared" si="15"/>
        <v>108</v>
      </c>
      <c r="H25" s="34">
        <f t="shared" si="16"/>
        <v>4320</v>
      </c>
      <c r="I25" s="32">
        <v>70</v>
      </c>
      <c r="J25" s="33">
        <f t="shared" si="17"/>
        <v>80</v>
      </c>
      <c r="K25" s="34">
        <f t="shared" si="18"/>
        <v>5600</v>
      </c>
      <c r="L25" s="32">
        <v>0</v>
      </c>
      <c r="M25" s="33">
        <f t="shared" si="19"/>
        <v>57</v>
      </c>
      <c r="N25" s="34">
        <f t="shared" si="20"/>
        <v>0</v>
      </c>
      <c r="O25" s="32">
        <v>0</v>
      </c>
      <c r="P25" s="33">
        <f t="shared" si="21"/>
        <v>45</v>
      </c>
      <c r="Q25" s="34">
        <f t="shared" si="22"/>
        <v>0</v>
      </c>
      <c r="R25" s="35">
        <f t="shared" si="23"/>
        <v>110</v>
      </c>
      <c r="S25" s="36">
        <f t="shared" si="24"/>
        <v>9920</v>
      </c>
      <c r="T25" s="37" t="str">
        <f t="shared" si="25"/>
        <v/>
      </c>
    </row>
    <row r="26" spans="2:20" s="38" customFormat="1" x14ac:dyDescent="0.25">
      <c r="B26" s="18" t="s">
        <v>172</v>
      </c>
      <c r="C26" s="23" t="s">
        <v>11</v>
      </c>
      <c r="D26" s="46" t="str">
        <f t="shared" si="13"/>
        <v>UNIVERSIDAD SAN FRANCISCO DE QUITO</v>
      </c>
      <c r="E26" s="46" t="str">
        <f t="shared" si="14"/>
        <v>Ecuador</v>
      </c>
      <c r="F26" s="32">
        <v>15</v>
      </c>
      <c r="G26" s="33">
        <f t="shared" si="15"/>
        <v>77</v>
      </c>
      <c r="H26" s="34">
        <f t="shared" si="16"/>
        <v>1155</v>
      </c>
      <c r="I26" s="32">
        <v>90</v>
      </c>
      <c r="J26" s="33">
        <f t="shared" si="17"/>
        <v>57</v>
      </c>
      <c r="K26" s="34">
        <f t="shared" si="18"/>
        <v>5130</v>
      </c>
      <c r="L26" s="32">
        <v>0</v>
      </c>
      <c r="M26" s="33">
        <f t="shared" si="19"/>
        <v>40</v>
      </c>
      <c r="N26" s="34">
        <f t="shared" si="20"/>
        <v>0</v>
      </c>
      <c r="O26" s="32">
        <v>0</v>
      </c>
      <c r="P26" s="33">
        <f t="shared" si="21"/>
        <v>32</v>
      </c>
      <c r="Q26" s="34">
        <f t="shared" si="22"/>
        <v>0</v>
      </c>
      <c r="R26" s="35">
        <f t="shared" si="23"/>
        <v>105</v>
      </c>
      <c r="S26" s="36">
        <f t="shared" si="24"/>
        <v>6285</v>
      </c>
      <c r="T26" s="37" t="str">
        <f t="shared" si="25"/>
        <v/>
      </c>
    </row>
    <row r="27" spans="2:20" s="38" customFormat="1" x14ac:dyDescent="0.25">
      <c r="B27" s="18" t="s">
        <v>172</v>
      </c>
      <c r="C27" s="23" t="s">
        <v>12</v>
      </c>
      <c r="D27" s="46" t="str">
        <f t="shared" si="13"/>
        <v>UNIVERSIDADDE INVESTIGACIONDE TECNOLOGIA EXPERIMENTAL YACHAY</v>
      </c>
      <c r="E27" s="46" t="str">
        <f t="shared" si="14"/>
        <v>Ecuador</v>
      </c>
      <c r="F27" s="32">
        <v>0</v>
      </c>
      <c r="G27" s="33">
        <f t="shared" si="15"/>
        <v>77</v>
      </c>
      <c r="H27" s="34">
        <f t="shared" si="16"/>
        <v>0</v>
      </c>
      <c r="I27" s="32">
        <v>40</v>
      </c>
      <c r="J27" s="33">
        <f t="shared" si="17"/>
        <v>57</v>
      </c>
      <c r="K27" s="34">
        <f t="shared" si="18"/>
        <v>2280</v>
      </c>
      <c r="L27" s="32">
        <v>0</v>
      </c>
      <c r="M27" s="33">
        <f t="shared" si="19"/>
        <v>40</v>
      </c>
      <c r="N27" s="34">
        <f t="shared" si="20"/>
        <v>0</v>
      </c>
      <c r="O27" s="32">
        <v>0</v>
      </c>
      <c r="P27" s="33">
        <f t="shared" si="21"/>
        <v>32</v>
      </c>
      <c r="Q27" s="34">
        <f t="shared" si="22"/>
        <v>0</v>
      </c>
      <c r="R27" s="35">
        <f t="shared" si="23"/>
        <v>40</v>
      </c>
      <c r="S27" s="36">
        <f t="shared" si="24"/>
        <v>2280</v>
      </c>
      <c r="T27" s="37" t="str">
        <f t="shared" si="25"/>
        <v/>
      </c>
    </row>
    <row r="28" spans="2:20" s="38" customFormat="1" x14ac:dyDescent="0.25">
      <c r="B28" s="18" t="s">
        <v>172</v>
      </c>
      <c r="C28" s="23" t="s">
        <v>13</v>
      </c>
      <c r="D28" s="46" t="str">
        <f t="shared" si="13"/>
        <v>UNIVERSIDAD NACIONAL MAYOR DE SAN MARCOS</v>
      </c>
      <c r="E28" s="46" t="str">
        <f t="shared" si="14"/>
        <v>Peru</v>
      </c>
      <c r="F28" s="32">
        <v>0</v>
      </c>
      <c r="G28" s="33">
        <f t="shared" si="15"/>
        <v>108</v>
      </c>
      <c r="H28" s="34">
        <f t="shared" si="16"/>
        <v>0</v>
      </c>
      <c r="I28" s="32">
        <v>70</v>
      </c>
      <c r="J28" s="33">
        <f t="shared" si="17"/>
        <v>80</v>
      </c>
      <c r="K28" s="34">
        <f t="shared" si="18"/>
        <v>5600</v>
      </c>
      <c r="L28" s="32">
        <v>0</v>
      </c>
      <c r="M28" s="33">
        <f t="shared" si="19"/>
        <v>57</v>
      </c>
      <c r="N28" s="34">
        <f t="shared" si="20"/>
        <v>0</v>
      </c>
      <c r="O28" s="32">
        <v>0</v>
      </c>
      <c r="P28" s="33">
        <f t="shared" si="21"/>
        <v>45</v>
      </c>
      <c r="Q28" s="34">
        <f t="shared" si="22"/>
        <v>0</v>
      </c>
      <c r="R28" s="35">
        <f t="shared" si="23"/>
        <v>70</v>
      </c>
      <c r="S28" s="36">
        <f t="shared" si="24"/>
        <v>5600</v>
      </c>
      <c r="T28" s="37" t="str">
        <f t="shared" si="25"/>
        <v/>
      </c>
    </row>
    <row r="29" spans="2:20" s="38" customFormat="1" x14ac:dyDescent="0.25">
      <c r="B29" s="18" t="s">
        <v>172</v>
      </c>
      <c r="C29" s="23" t="s">
        <v>14</v>
      </c>
      <c r="D29" s="46" t="str">
        <f t="shared" si="13"/>
        <v xml:space="preserve">Universidad Nacional de Ingenieria </v>
      </c>
      <c r="E29" s="46" t="str">
        <f t="shared" si="14"/>
        <v>Peru</v>
      </c>
      <c r="F29" s="32">
        <v>0</v>
      </c>
      <c r="G29" s="33">
        <f t="shared" si="15"/>
        <v>108</v>
      </c>
      <c r="H29" s="34">
        <f t="shared" si="16"/>
        <v>0</v>
      </c>
      <c r="I29" s="32">
        <v>70</v>
      </c>
      <c r="J29" s="33">
        <f t="shared" si="17"/>
        <v>80</v>
      </c>
      <c r="K29" s="34">
        <f t="shared" si="18"/>
        <v>5600</v>
      </c>
      <c r="L29" s="32">
        <v>0</v>
      </c>
      <c r="M29" s="33">
        <f t="shared" si="19"/>
        <v>57</v>
      </c>
      <c r="N29" s="34">
        <f t="shared" si="20"/>
        <v>0</v>
      </c>
      <c r="O29" s="32">
        <v>0</v>
      </c>
      <c r="P29" s="33">
        <f t="shared" si="21"/>
        <v>45</v>
      </c>
      <c r="Q29" s="34">
        <f t="shared" si="22"/>
        <v>0</v>
      </c>
      <c r="R29" s="35">
        <f t="shared" si="23"/>
        <v>70</v>
      </c>
      <c r="S29" s="36">
        <f t="shared" si="24"/>
        <v>5600</v>
      </c>
      <c r="T29" s="37" t="str">
        <f t="shared" si="25"/>
        <v/>
      </c>
    </row>
    <row r="30" spans="2:20" s="38" customFormat="1" x14ac:dyDescent="0.25">
      <c r="B30" s="18" t="s">
        <v>172</v>
      </c>
      <c r="C30" s="23" t="s">
        <v>15</v>
      </c>
      <c r="D30" s="46" t="str">
        <f t="shared" si="13"/>
        <v>UNIVERSIDAD CENTRAL DE VENEZUELA</v>
      </c>
      <c r="E30" s="46" t="str">
        <f t="shared" si="14"/>
        <v>Venezuela</v>
      </c>
      <c r="F30" s="32">
        <v>0</v>
      </c>
      <c r="G30" s="33">
        <f t="shared" si="15"/>
        <v>108</v>
      </c>
      <c r="H30" s="34">
        <f t="shared" si="16"/>
        <v>0</v>
      </c>
      <c r="I30" s="32">
        <v>70</v>
      </c>
      <c r="J30" s="33">
        <f t="shared" si="17"/>
        <v>80</v>
      </c>
      <c r="K30" s="34">
        <f t="shared" si="18"/>
        <v>5600</v>
      </c>
      <c r="L30" s="32">
        <v>0</v>
      </c>
      <c r="M30" s="33">
        <f t="shared" si="19"/>
        <v>57</v>
      </c>
      <c r="N30" s="34">
        <f t="shared" si="20"/>
        <v>0</v>
      </c>
      <c r="O30" s="32">
        <v>0</v>
      </c>
      <c r="P30" s="33">
        <f t="shared" si="21"/>
        <v>45</v>
      </c>
      <c r="Q30" s="34">
        <f t="shared" si="22"/>
        <v>0</v>
      </c>
      <c r="R30" s="35">
        <f t="shared" si="23"/>
        <v>70</v>
      </c>
      <c r="S30" s="36">
        <f t="shared" si="24"/>
        <v>5600</v>
      </c>
      <c r="T30" s="37" t="str">
        <f t="shared" si="25"/>
        <v/>
      </c>
    </row>
    <row r="31" spans="2:20" s="38" customFormat="1" x14ac:dyDescent="0.25">
      <c r="B31" s="18" t="s">
        <v>172</v>
      </c>
      <c r="C31" s="23" t="s">
        <v>16</v>
      </c>
      <c r="D31" s="46" t="str">
        <f t="shared" si="13"/>
        <v>UNIVERSIDAD SIMON BOLIVAR</v>
      </c>
      <c r="E31" s="46" t="str">
        <f t="shared" si="14"/>
        <v>Venezuela</v>
      </c>
      <c r="F31" s="32">
        <v>0</v>
      </c>
      <c r="G31" s="33">
        <f t="shared" si="15"/>
        <v>108</v>
      </c>
      <c r="H31" s="34">
        <f t="shared" si="16"/>
        <v>0</v>
      </c>
      <c r="I31" s="32">
        <v>70</v>
      </c>
      <c r="J31" s="33">
        <f t="shared" si="17"/>
        <v>80</v>
      </c>
      <c r="K31" s="34">
        <f t="shared" si="18"/>
        <v>5600</v>
      </c>
      <c r="L31" s="32">
        <v>0</v>
      </c>
      <c r="M31" s="33">
        <f t="shared" si="19"/>
        <v>57</v>
      </c>
      <c r="N31" s="34">
        <f t="shared" si="20"/>
        <v>0</v>
      </c>
      <c r="O31" s="32">
        <v>0</v>
      </c>
      <c r="P31" s="33">
        <f t="shared" si="21"/>
        <v>45</v>
      </c>
      <c r="Q31" s="34">
        <f t="shared" si="22"/>
        <v>0</v>
      </c>
      <c r="R31" s="35">
        <f t="shared" si="23"/>
        <v>70</v>
      </c>
      <c r="S31" s="36">
        <f t="shared" si="24"/>
        <v>5600</v>
      </c>
      <c r="T31" s="37" t="str">
        <f t="shared" si="25"/>
        <v/>
      </c>
    </row>
    <row r="32" spans="2:20" s="38" customFormat="1" x14ac:dyDescent="0.25">
      <c r="B32" s="18" t="s">
        <v>172</v>
      </c>
      <c r="C32" s="23" t="s">
        <v>17</v>
      </c>
      <c r="D32" s="46" t="str">
        <f t="shared" si="13"/>
        <v>UNIVERSITE PAUL SABATIER TOULOUSE III</v>
      </c>
      <c r="E32" s="46" t="str">
        <f t="shared" si="14"/>
        <v>France</v>
      </c>
      <c r="F32" s="32">
        <v>0</v>
      </c>
      <c r="G32" s="33">
        <f t="shared" si="15"/>
        <v>280</v>
      </c>
      <c r="H32" s="34">
        <f t="shared" si="16"/>
        <v>0</v>
      </c>
      <c r="I32" s="32">
        <v>30</v>
      </c>
      <c r="J32" s="33">
        <f t="shared" si="17"/>
        <v>214</v>
      </c>
      <c r="K32" s="34">
        <f t="shared" si="18"/>
        <v>6420</v>
      </c>
      <c r="L32" s="32">
        <v>0</v>
      </c>
      <c r="M32" s="33">
        <f t="shared" si="19"/>
        <v>162</v>
      </c>
      <c r="N32" s="34">
        <f t="shared" si="20"/>
        <v>0</v>
      </c>
      <c r="O32" s="32">
        <v>0</v>
      </c>
      <c r="P32" s="33">
        <f t="shared" si="21"/>
        <v>131</v>
      </c>
      <c r="Q32" s="34">
        <f t="shared" si="22"/>
        <v>0</v>
      </c>
      <c r="R32" s="35">
        <f t="shared" si="23"/>
        <v>30</v>
      </c>
      <c r="S32" s="36">
        <f t="shared" si="24"/>
        <v>6420</v>
      </c>
      <c r="T32" s="37" t="str">
        <f t="shared" si="25"/>
        <v/>
      </c>
    </row>
    <row r="33" spans="2:20" s="38" customFormat="1" x14ac:dyDescent="0.25">
      <c r="B33" s="18" t="s">
        <v>172</v>
      </c>
      <c r="C33" s="23" t="s">
        <v>18</v>
      </c>
      <c r="D33" s="46" t="str">
        <f t="shared" si="13"/>
        <v>TECHNISCHE UNIVERSITAET DRESDEN</v>
      </c>
      <c r="E33" s="46" t="str">
        <f t="shared" si="14"/>
        <v>Germany</v>
      </c>
      <c r="F33" s="32">
        <v>0</v>
      </c>
      <c r="G33" s="33">
        <f t="shared" si="15"/>
        <v>280</v>
      </c>
      <c r="H33" s="34">
        <f t="shared" si="16"/>
        <v>0</v>
      </c>
      <c r="I33" s="32">
        <v>30</v>
      </c>
      <c r="J33" s="33">
        <f t="shared" si="17"/>
        <v>214</v>
      </c>
      <c r="K33" s="34">
        <f t="shared" si="18"/>
        <v>6420</v>
      </c>
      <c r="L33" s="32">
        <v>0</v>
      </c>
      <c r="M33" s="33">
        <f t="shared" si="19"/>
        <v>162</v>
      </c>
      <c r="N33" s="34">
        <f t="shared" si="20"/>
        <v>0</v>
      </c>
      <c r="O33" s="32">
        <v>0</v>
      </c>
      <c r="P33" s="33">
        <f t="shared" si="21"/>
        <v>131</v>
      </c>
      <c r="Q33" s="34">
        <f t="shared" si="22"/>
        <v>0</v>
      </c>
      <c r="R33" s="35">
        <f t="shared" si="23"/>
        <v>30</v>
      </c>
      <c r="S33" s="36">
        <f t="shared" si="24"/>
        <v>6420</v>
      </c>
      <c r="T33" s="37" t="str">
        <f t="shared" si="25"/>
        <v/>
      </c>
    </row>
    <row r="34" spans="2:20" s="38" customFormat="1" x14ac:dyDescent="0.25">
      <c r="B34" s="18" t="s">
        <v>320</v>
      </c>
      <c r="C34" s="23" t="s">
        <v>8</v>
      </c>
      <c r="D34" s="46" t="str">
        <f t="shared" si="13"/>
        <v>Université Paris Diderot</v>
      </c>
      <c r="E34" s="46" t="str">
        <f t="shared" si="14"/>
        <v>France</v>
      </c>
      <c r="F34" s="32">
        <v>0</v>
      </c>
      <c r="G34" s="33">
        <f t="shared" si="15"/>
        <v>280</v>
      </c>
      <c r="H34" s="34">
        <f t="shared" si="16"/>
        <v>0</v>
      </c>
      <c r="I34" s="32">
        <v>10</v>
      </c>
      <c r="J34" s="33">
        <f t="shared" si="17"/>
        <v>214</v>
      </c>
      <c r="K34" s="34">
        <f t="shared" si="18"/>
        <v>2140</v>
      </c>
      <c r="L34" s="32">
        <v>0</v>
      </c>
      <c r="M34" s="33">
        <f t="shared" si="19"/>
        <v>162</v>
      </c>
      <c r="N34" s="34">
        <f t="shared" si="20"/>
        <v>0</v>
      </c>
      <c r="O34" s="32">
        <v>0</v>
      </c>
      <c r="P34" s="33">
        <f t="shared" si="21"/>
        <v>131</v>
      </c>
      <c r="Q34" s="34">
        <f t="shared" si="22"/>
        <v>0</v>
      </c>
      <c r="R34" s="35">
        <f t="shared" si="23"/>
        <v>10</v>
      </c>
      <c r="S34" s="36">
        <f t="shared" si="24"/>
        <v>2140</v>
      </c>
      <c r="T34" s="37" t="str">
        <f t="shared" si="25"/>
        <v/>
      </c>
    </row>
    <row r="35" spans="2:20" s="38" customFormat="1" x14ac:dyDescent="0.25">
      <c r="B35" s="18" t="s">
        <v>320</v>
      </c>
      <c r="C35" s="23" t="s">
        <v>9</v>
      </c>
      <c r="D35" s="46" t="str">
        <f t="shared" si="13"/>
        <v>Universidad Industrial de Santander</v>
      </c>
      <c r="E35" s="46" t="str">
        <f t="shared" si="14"/>
        <v>Colombia</v>
      </c>
      <c r="F35" s="32">
        <v>0</v>
      </c>
      <c r="G35" s="33">
        <f t="shared" si="15"/>
        <v>108</v>
      </c>
      <c r="H35" s="34">
        <f t="shared" si="16"/>
        <v>0</v>
      </c>
      <c r="I35" s="32">
        <v>10</v>
      </c>
      <c r="J35" s="33">
        <f t="shared" si="17"/>
        <v>80</v>
      </c>
      <c r="K35" s="34">
        <f t="shared" si="18"/>
        <v>800</v>
      </c>
      <c r="L35" s="32">
        <v>0</v>
      </c>
      <c r="M35" s="33">
        <f t="shared" si="19"/>
        <v>57</v>
      </c>
      <c r="N35" s="34">
        <f t="shared" si="20"/>
        <v>0</v>
      </c>
      <c r="O35" s="32">
        <v>0</v>
      </c>
      <c r="P35" s="33">
        <f t="shared" si="21"/>
        <v>45</v>
      </c>
      <c r="Q35" s="34">
        <f t="shared" si="22"/>
        <v>0</v>
      </c>
      <c r="R35" s="35">
        <f t="shared" si="23"/>
        <v>10</v>
      </c>
      <c r="S35" s="36">
        <f t="shared" si="24"/>
        <v>800</v>
      </c>
      <c r="T35" s="37" t="str">
        <f t="shared" si="25"/>
        <v/>
      </c>
    </row>
    <row r="36" spans="2:20" s="38" customFormat="1" x14ac:dyDescent="0.25">
      <c r="B36" s="18" t="s">
        <v>320</v>
      </c>
      <c r="C36" s="23" t="s">
        <v>10</v>
      </c>
      <c r="D36" s="46" t="str">
        <f t="shared" si="13"/>
        <v>UNIVERSIDAD ANTONIO NARINO</v>
      </c>
      <c r="E36" s="46" t="str">
        <f t="shared" si="14"/>
        <v>Colombia</v>
      </c>
      <c r="F36" s="32">
        <v>0</v>
      </c>
      <c r="G36" s="33">
        <f t="shared" si="15"/>
        <v>108</v>
      </c>
      <c r="H36" s="34">
        <f t="shared" si="16"/>
        <v>0</v>
      </c>
      <c r="I36" s="32">
        <v>10</v>
      </c>
      <c r="J36" s="33">
        <f t="shared" si="17"/>
        <v>80</v>
      </c>
      <c r="K36" s="34">
        <f t="shared" si="18"/>
        <v>800</v>
      </c>
      <c r="L36" s="32">
        <v>0</v>
      </c>
      <c r="M36" s="33">
        <f t="shared" si="19"/>
        <v>57</v>
      </c>
      <c r="N36" s="34">
        <f t="shared" si="20"/>
        <v>0</v>
      </c>
      <c r="O36" s="32">
        <v>0</v>
      </c>
      <c r="P36" s="33">
        <f t="shared" si="21"/>
        <v>45</v>
      </c>
      <c r="Q36" s="34">
        <f t="shared" si="22"/>
        <v>0</v>
      </c>
      <c r="R36" s="35">
        <f t="shared" si="23"/>
        <v>10</v>
      </c>
      <c r="S36" s="36">
        <f t="shared" si="24"/>
        <v>800</v>
      </c>
      <c r="T36" s="37" t="str">
        <f t="shared" si="25"/>
        <v/>
      </c>
    </row>
    <row r="37" spans="2:20" s="38" customFormat="1" x14ac:dyDescent="0.25">
      <c r="B37" s="18" t="s">
        <v>320</v>
      </c>
      <c r="C37" s="23" t="s">
        <v>11</v>
      </c>
      <c r="D37" s="46" t="str">
        <f t="shared" si="13"/>
        <v>UNIVERSIDAD SAN FRANCISCO DE QUITO</v>
      </c>
      <c r="E37" s="46" t="str">
        <f t="shared" si="14"/>
        <v>Ecuador</v>
      </c>
      <c r="F37" s="32">
        <v>0</v>
      </c>
      <c r="G37" s="33">
        <f t="shared" si="15"/>
        <v>77</v>
      </c>
      <c r="H37" s="34">
        <f t="shared" si="16"/>
        <v>0</v>
      </c>
      <c r="I37" s="32">
        <v>10</v>
      </c>
      <c r="J37" s="33">
        <f t="shared" si="17"/>
        <v>57</v>
      </c>
      <c r="K37" s="34">
        <f t="shared" si="18"/>
        <v>570</v>
      </c>
      <c r="L37" s="32">
        <v>0</v>
      </c>
      <c r="M37" s="33">
        <f t="shared" si="19"/>
        <v>40</v>
      </c>
      <c r="N37" s="34">
        <f t="shared" si="20"/>
        <v>0</v>
      </c>
      <c r="O37" s="32">
        <v>0</v>
      </c>
      <c r="P37" s="33">
        <f t="shared" si="21"/>
        <v>32</v>
      </c>
      <c r="Q37" s="34">
        <f t="shared" si="22"/>
        <v>0</v>
      </c>
      <c r="R37" s="35">
        <f t="shared" si="23"/>
        <v>10</v>
      </c>
      <c r="S37" s="36">
        <f t="shared" si="24"/>
        <v>570</v>
      </c>
      <c r="T37" s="37" t="str">
        <f t="shared" si="25"/>
        <v/>
      </c>
    </row>
    <row r="38" spans="2:20" s="38" customFormat="1" x14ac:dyDescent="0.25">
      <c r="B38" s="18" t="s">
        <v>320</v>
      </c>
      <c r="C38" s="23" t="s">
        <v>12</v>
      </c>
      <c r="D38" s="46" t="str">
        <f t="shared" si="13"/>
        <v>UNIVERSIDADDE INVESTIGACIONDE TECNOLOGIA EXPERIMENTAL YACHAY</v>
      </c>
      <c r="E38" s="46" t="str">
        <f t="shared" si="14"/>
        <v>Ecuador</v>
      </c>
      <c r="F38" s="32">
        <v>0</v>
      </c>
      <c r="G38" s="33">
        <f t="shared" si="15"/>
        <v>77</v>
      </c>
      <c r="H38" s="34">
        <f t="shared" si="16"/>
        <v>0</v>
      </c>
      <c r="I38" s="32">
        <v>20</v>
      </c>
      <c r="J38" s="33">
        <f t="shared" si="17"/>
        <v>57</v>
      </c>
      <c r="K38" s="34">
        <f t="shared" si="18"/>
        <v>1140</v>
      </c>
      <c r="L38" s="32">
        <v>0</v>
      </c>
      <c r="M38" s="33">
        <f t="shared" si="19"/>
        <v>40</v>
      </c>
      <c r="N38" s="34">
        <f t="shared" si="20"/>
        <v>0</v>
      </c>
      <c r="O38" s="32">
        <v>0</v>
      </c>
      <c r="P38" s="33">
        <f t="shared" si="21"/>
        <v>32</v>
      </c>
      <c r="Q38" s="34">
        <f t="shared" si="22"/>
        <v>0</v>
      </c>
      <c r="R38" s="35">
        <f t="shared" si="23"/>
        <v>20</v>
      </c>
      <c r="S38" s="36">
        <f t="shared" si="24"/>
        <v>1140</v>
      </c>
      <c r="T38" s="37" t="str">
        <f t="shared" si="25"/>
        <v/>
      </c>
    </row>
    <row r="39" spans="2:20" s="38" customFormat="1" x14ac:dyDescent="0.25">
      <c r="B39" s="18" t="s">
        <v>320</v>
      </c>
      <c r="C39" s="23" t="s">
        <v>13</v>
      </c>
      <c r="D39" s="46" t="str">
        <f t="shared" si="13"/>
        <v>UNIVERSIDAD NACIONAL MAYOR DE SAN MARCOS</v>
      </c>
      <c r="E39" s="46" t="str">
        <f t="shared" si="14"/>
        <v>Peru</v>
      </c>
      <c r="F39" s="32">
        <v>0</v>
      </c>
      <c r="G39" s="33">
        <f t="shared" si="15"/>
        <v>108</v>
      </c>
      <c r="H39" s="34">
        <f t="shared" si="16"/>
        <v>0</v>
      </c>
      <c r="I39" s="32">
        <v>10</v>
      </c>
      <c r="J39" s="33">
        <f t="shared" si="17"/>
        <v>80</v>
      </c>
      <c r="K39" s="34">
        <f t="shared" si="18"/>
        <v>800</v>
      </c>
      <c r="L39" s="32">
        <v>0</v>
      </c>
      <c r="M39" s="33">
        <f t="shared" si="19"/>
        <v>57</v>
      </c>
      <c r="N39" s="34">
        <f t="shared" si="20"/>
        <v>0</v>
      </c>
      <c r="O39" s="32">
        <v>0</v>
      </c>
      <c r="P39" s="33">
        <f t="shared" si="21"/>
        <v>45</v>
      </c>
      <c r="Q39" s="34">
        <f t="shared" si="22"/>
        <v>0</v>
      </c>
      <c r="R39" s="35">
        <f t="shared" si="23"/>
        <v>10</v>
      </c>
      <c r="S39" s="36">
        <f t="shared" si="24"/>
        <v>800</v>
      </c>
      <c r="T39" s="37" t="str">
        <f t="shared" si="25"/>
        <v/>
      </c>
    </row>
    <row r="40" spans="2:20" s="38" customFormat="1" x14ac:dyDescent="0.25">
      <c r="B40" s="18" t="s">
        <v>320</v>
      </c>
      <c r="C40" s="23" t="s">
        <v>14</v>
      </c>
      <c r="D40" s="46" t="str">
        <f t="shared" si="13"/>
        <v xml:space="preserve">Universidad Nacional de Ingenieria </v>
      </c>
      <c r="E40" s="46" t="str">
        <f t="shared" si="14"/>
        <v>Peru</v>
      </c>
      <c r="F40" s="32">
        <v>0</v>
      </c>
      <c r="G40" s="33">
        <f t="shared" si="15"/>
        <v>108</v>
      </c>
      <c r="H40" s="34">
        <f t="shared" si="16"/>
        <v>0</v>
      </c>
      <c r="I40" s="32">
        <v>10</v>
      </c>
      <c r="J40" s="33">
        <f t="shared" si="17"/>
        <v>80</v>
      </c>
      <c r="K40" s="34">
        <f t="shared" si="18"/>
        <v>800</v>
      </c>
      <c r="L40" s="32">
        <v>0</v>
      </c>
      <c r="M40" s="33">
        <f t="shared" si="19"/>
        <v>57</v>
      </c>
      <c r="N40" s="34">
        <f t="shared" si="20"/>
        <v>0</v>
      </c>
      <c r="O40" s="32">
        <v>0</v>
      </c>
      <c r="P40" s="33">
        <f t="shared" si="21"/>
        <v>45</v>
      </c>
      <c r="Q40" s="34">
        <f t="shared" si="22"/>
        <v>0</v>
      </c>
      <c r="R40" s="35">
        <f t="shared" si="23"/>
        <v>10</v>
      </c>
      <c r="S40" s="36">
        <f t="shared" si="24"/>
        <v>800</v>
      </c>
      <c r="T40" s="37" t="str">
        <f t="shared" si="25"/>
        <v/>
      </c>
    </row>
    <row r="41" spans="2:20" s="38" customFormat="1" x14ac:dyDescent="0.25">
      <c r="B41" s="18" t="s">
        <v>320</v>
      </c>
      <c r="C41" s="23" t="s">
        <v>15</v>
      </c>
      <c r="D41" s="46" t="str">
        <f t="shared" si="13"/>
        <v>UNIVERSIDAD CENTRAL DE VENEZUELA</v>
      </c>
      <c r="E41" s="46" t="str">
        <f t="shared" si="14"/>
        <v>Venezuela</v>
      </c>
      <c r="F41" s="32">
        <v>0</v>
      </c>
      <c r="G41" s="33">
        <f t="shared" si="15"/>
        <v>108</v>
      </c>
      <c r="H41" s="34">
        <f t="shared" si="16"/>
        <v>0</v>
      </c>
      <c r="I41" s="32">
        <v>10</v>
      </c>
      <c r="J41" s="33">
        <f t="shared" si="17"/>
        <v>80</v>
      </c>
      <c r="K41" s="34">
        <f t="shared" si="18"/>
        <v>800</v>
      </c>
      <c r="L41" s="32">
        <v>0</v>
      </c>
      <c r="M41" s="33">
        <f t="shared" si="19"/>
        <v>57</v>
      </c>
      <c r="N41" s="34">
        <f t="shared" si="20"/>
        <v>0</v>
      </c>
      <c r="O41" s="32">
        <v>0</v>
      </c>
      <c r="P41" s="33">
        <f t="shared" si="21"/>
        <v>45</v>
      </c>
      <c r="Q41" s="34">
        <f t="shared" si="22"/>
        <v>0</v>
      </c>
      <c r="R41" s="35">
        <f t="shared" si="23"/>
        <v>10</v>
      </c>
      <c r="S41" s="36">
        <f t="shared" si="24"/>
        <v>800</v>
      </c>
      <c r="T41" s="37" t="str">
        <f t="shared" si="25"/>
        <v/>
      </c>
    </row>
    <row r="42" spans="2:20" s="38" customFormat="1" x14ac:dyDescent="0.25">
      <c r="B42" s="18" t="s">
        <v>320</v>
      </c>
      <c r="C42" s="23" t="s">
        <v>16</v>
      </c>
      <c r="D42" s="46" t="str">
        <f t="shared" si="13"/>
        <v>UNIVERSIDAD SIMON BOLIVAR</v>
      </c>
      <c r="E42" s="46" t="str">
        <f t="shared" si="14"/>
        <v>Venezuela</v>
      </c>
      <c r="F42" s="32">
        <v>0</v>
      </c>
      <c r="G42" s="33">
        <f t="shared" si="15"/>
        <v>108</v>
      </c>
      <c r="H42" s="34">
        <f t="shared" si="16"/>
        <v>0</v>
      </c>
      <c r="I42" s="32">
        <v>10</v>
      </c>
      <c r="J42" s="33">
        <f t="shared" si="17"/>
        <v>80</v>
      </c>
      <c r="K42" s="34">
        <f t="shared" si="18"/>
        <v>800</v>
      </c>
      <c r="L42" s="32">
        <v>0</v>
      </c>
      <c r="M42" s="33">
        <f t="shared" si="19"/>
        <v>57</v>
      </c>
      <c r="N42" s="34">
        <f t="shared" si="20"/>
        <v>0</v>
      </c>
      <c r="O42" s="32">
        <v>0</v>
      </c>
      <c r="P42" s="33">
        <f t="shared" si="21"/>
        <v>45</v>
      </c>
      <c r="Q42" s="34">
        <f t="shared" si="22"/>
        <v>0</v>
      </c>
      <c r="R42" s="35">
        <f t="shared" si="23"/>
        <v>10</v>
      </c>
      <c r="S42" s="36">
        <f t="shared" si="24"/>
        <v>800</v>
      </c>
      <c r="T42" s="37" t="str">
        <f t="shared" si="25"/>
        <v/>
      </c>
    </row>
    <row r="43" spans="2:20" s="38" customFormat="1" x14ac:dyDescent="0.25">
      <c r="B43" s="18" t="s">
        <v>320</v>
      </c>
      <c r="C43" s="23" t="s">
        <v>17</v>
      </c>
      <c r="D43" s="46" t="str">
        <f t="shared" si="13"/>
        <v>UNIVERSITE PAUL SABATIER TOULOUSE III</v>
      </c>
      <c r="E43" s="46" t="str">
        <f t="shared" si="14"/>
        <v>France</v>
      </c>
      <c r="F43" s="32">
        <v>30</v>
      </c>
      <c r="G43" s="33">
        <f t="shared" si="15"/>
        <v>280</v>
      </c>
      <c r="H43" s="34">
        <f t="shared" si="16"/>
        <v>8400</v>
      </c>
      <c r="I43" s="32">
        <v>0</v>
      </c>
      <c r="J43" s="33">
        <f t="shared" si="17"/>
        <v>214</v>
      </c>
      <c r="K43" s="34">
        <f t="shared" si="18"/>
        <v>0</v>
      </c>
      <c r="L43" s="32">
        <v>0</v>
      </c>
      <c r="M43" s="33">
        <f t="shared" si="19"/>
        <v>162</v>
      </c>
      <c r="N43" s="34">
        <f t="shared" si="20"/>
        <v>0</v>
      </c>
      <c r="O43" s="32">
        <v>0</v>
      </c>
      <c r="P43" s="33">
        <f t="shared" si="21"/>
        <v>131</v>
      </c>
      <c r="Q43" s="34">
        <f t="shared" si="22"/>
        <v>0</v>
      </c>
      <c r="R43" s="35">
        <f t="shared" si="23"/>
        <v>30</v>
      </c>
      <c r="S43" s="36">
        <f t="shared" si="24"/>
        <v>8400</v>
      </c>
      <c r="T43" s="37" t="str">
        <f t="shared" si="25"/>
        <v/>
      </c>
    </row>
    <row r="44" spans="2:20" s="38" customFormat="1" x14ac:dyDescent="0.25">
      <c r="B44" s="18" t="s">
        <v>320</v>
      </c>
      <c r="C44" s="23" t="s">
        <v>18</v>
      </c>
      <c r="D44" s="46" t="str">
        <f t="shared" si="13"/>
        <v>TECHNISCHE UNIVERSITAET DRESDEN</v>
      </c>
      <c r="E44" s="46" t="str">
        <f t="shared" si="14"/>
        <v>Germany</v>
      </c>
      <c r="F44" s="32">
        <v>0</v>
      </c>
      <c r="G44" s="33">
        <f t="shared" si="15"/>
        <v>280</v>
      </c>
      <c r="H44" s="34">
        <f t="shared" si="16"/>
        <v>0</v>
      </c>
      <c r="I44" s="32">
        <v>5</v>
      </c>
      <c r="J44" s="33">
        <f t="shared" si="17"/>
        <v>214</v>
      </c>
      <c r="K44" s="34">
        <f t="shared" si="18"/>
        <v>1070</v>
      </c>
      <c r="L44" s="32">
        <v>0</v>
      </c>
      <c r="M44" s="33">
        <f t="shared" si="19"/>
        <v>162</v>
      </c>
      <c r="N44" s="34">
        <f t="shared" si="20"/>
        <v>0</v>
      </c>
      <c r="O44" s="32">
        <v>0</v>
      </c>
      <c r="P44" s="33">
        <f t="shared" si="21"/>
        <v>131</v>
      </c>
      <c r="Q44" s="34">
        <f t="shared" si="22"/>
        <v>0</v>
      </c>
      <c r="R44" s="35">
        <f t="shared" si="23"/>
        <v>5</v>
      </c>
      <c r="S44" s="36">
        <f t="shared" si="24"/>
        <v>1070</v>
      </c>
      <c r="T44" s="37" t="str">
        <f t="shared" si="25"/>
        <v/>
      </c>
    </row>
    <row r="45" spans="2:20" s="38" customFormat="1" x14ac:dyDescent="0.25">
      <c r="B45" s="18" t="s">
        <v>321</v>
      </c>
      <c r="C45" s="23" t="s">
        <v>8</v>
      </c>
      <c r="D45" s="46" t="str">
        <f t="shared" si="13"/>
        <v>Université Paris Diderot</v>
      </c>
      <c r="E45" s="46" t="str">
        <f t="shared" si="14"/>
        <v>France</v>
      </c>
      <c r="F45" s="32">
        <v>0</v>
      </c>
      <c r="G45" s="33">
        <f t="shared" si="15"/>
        <v>280</v>
      </c>
      <c r="H45" s="34">
        <f t="shared" si="16"/>
        <v>0</v>
      </c>
      <c r="I45" s="32">
        <v>35</v>
      </c>
      <c r="J45" s="33">
        <f t="shared" si="17"/>
        <v>214</v>
      </c>
      <c r="K45" s="34">
        <f t="shared" si="18"/>
        <v>7490</v>
      </c>
      <c r="L45" s="32">
        <v>0</v>
      </c>
      <c r="M45" s="33">
        <f t="shared" si="19"/>
        <v>162</v>
      </c>
      <c r="N45" s="34">
        <f t="shared" si="20"/>
        <v>0</v>
      </c>
      <c r="O45" s="32">
        <v>0</v>
      </c>
      <c r="P45" s="33">
        <f t="shared" si="21"/>
        <v>131</v>
      </c>
      <c r="Q45" s="34">
        <f t="shared" si="22"/>
        <v>0</v>
      </c>
      <c r="R45" s="35">
        <f t="shared" si="23"/>
        <v>35</v>
      </c>
      <c r="S45" s="36">
        <f t="shared" si="24"/>
        <v>7490</v>
      </c>
      <c r="T45" s="37" t="str">
        <f t="shared" si="25"/>
        <v/>
      </c>
    </row>
    <row r="46" spans="2:20" s="38" customFormat="1" x14ac:dyDescent="0.25">
      <c r="B46" s="18" t="s">
        <v>321</v>
      </c>
      <c r="C46" s="23" t="s">
        <v>9</v>
      </c>
      <c r="D46" s="46" t="str">
        <f t="shared" si="13"/>
        <v>Universidad Industrial de Santander</v>
      </c>
      <c r="E46" s="46" t="str">
        <f t="shared" si="14"/>
        <v>Colombia</v>
      </c>
      <c r="F46" s="32">
        <v>0</v>
      </c>
      <c r="G46" s="33">
        <f t="shared" si="15"/>
        <v>108</v>
      </c>
      <c r="H46" s="34">
        <f t="shared" si="16"/>
        <v>0</v>
      </c>
      <c r="I46" s="32">
        <v>15</v>
      </c>
      <c r="J46" s="33">
        <f t="shared" si="17"/>
        <v>80</v>
      </c>
      <c r="K46" s="34">
        <f t="shared" si="18"/>
        <v>1200</v>
      </c>
      <c r="L46" s="32">
        <v>0</v>
      </c>
      <c r="M46" s="33">
        <f t="shared" si="19"/>
        <v>57</v>
      </c>
      <c r="N46" s="34">
        <f t="shared" si="20"/>
        <v>0</v>
      </c>
      <c r="O46" s="32">
        <v>0</v>
      </c>
      <c r="P46" s="33">
        <f t="shared" si="21"/>
        <v>45</v>
      </c>
      <c r="Q46" s="34">
        <f t="shared" si="22"/>
        <v>0</v>
      </c>
      <c r="R46" s="35">
        <f t="shared" si="23"/>
        <v>15</v>
      </c>
      <c r="S46" s="36">
        <f t="shared" si="24"/>
        <v>1200</v>
      </c>
      <c r="T46" s="37" t="str">
        <f t="shared" si="25"/>
        <v/>
      </c>
    </row>
    <row r="47" spans="2:20" s="38" customFormat="1" x14ac:dyDescent="0.25">
      <c r="B47" s="18" t="s">
        <v>321</v>
      </c>
      <c r="C47" s="23" t="s">
        <v>10</v>
      </c>
      <c r="D47" s="46" t="str">
        <f t="shared" si="13"/>
        <v>UNIVERSIDAD ANTONIO NARINO</v>
      </c>
      <c r="E47" s="46" t="str">
        <f t="shared" si="14"/>
        <v>Colombia</v>
      </c>
      <c r="F47" s="32">
        <v>0</v>
      </c>
      <c r="G47" s="33">
        <f t="shared" si="15"/>
        <v>108</v>
      </c>
      <c r="H47" s="34">
        <f t="shared" si="16"/>
        <v>0</v>
      </c>
      <c r="I47" s="32">
        <v>15</v>
      </c>
      <c r="J47" s="33">
        <f t="shared" si="17"/>
        <v>80</v>
      </c>
      <c r="K47" s="34">
        <f t="shared" si="18"/>
        <v>1200</v>
      </c>
      <c r="L47" s="32">
        <v>0</v>
      </c>
      <c r="M47" s="33">
        <f t="shared" si="19"/>
        <v>57</v>
      </c>
      <c r="N47" s="34">
        <f t="shared" si="20"/>
        <v>0</v>
      </c>
      <c r="O47" s="32">
        <v>0</v>
      </c>
      <c r="P47" s="33">
        <f t="shared" si="21"/>
        <v>45</v>
      </c>
      <c r="Q47" s="34">
        <f t="shared" si="22"/>
        <v>0</v>
      </c>
      <c r="R47" s="35">
        <f t="shared" si="23"/>
        <v>15</v>
      </c>
      <c r="S47" s="36">
        <f t="shared" si="24"/>
        <v>1200</v>
      </c>
      <c r="T47" s="37" t="str">
        <f t="shared" si="25"/>
        <v/>
      </c>
    </row>
    <row r="48" spans="2:20" s="38" customFormat="1" x14ac:dyDescent="0.25">
      <c r="B48" s="18" t="s">
        <v>321</v>
      </c>
      <c r="C48" s="23" t="s">
        <v>11</v>
      </c>
      <c r="D48" s="46" t="str">
        <f t="shared" si="13"/>
        <v>UNIVERSIDAD SAN FRANCISCO DE QUITO</v>
      </c>
      <c r="E48" s="46" t="str">
        <f t="shared" si="14"/>
        <v>Ecuador</v>
      </c>
      <c r="F48" s="32">
        <v>0</v>
      </c>
      <c r="G48" s="33">
        <f t="shared" si="15"/>
        <v>77</v>
      </c>
      <c r="H48" s="34">
        <f t="shared" si="16"/>
        <v>0</v>
      </c>
      <c r="I48" s="32">
        <v>15</v>
      </c>
      <c r="J48" s="33">
        <f t="shared" si="17"/>
        <v>57</v>
      </c>
      <c r="K48" s="34">
        <f t="shared" si="18"/>
        <v>855</v>
      </c>
      <c r="L48" s="32">
        <v>0</v>
      </c>
      <c r="M48" s="33">
        <f t="shared" si="19"/>
        <v>40</v>
      </c>
      <c r="N48" s="34">
        <f t="shared" si="20"/>
        <v>0</v>
      </c>
      <c r="O48" s="32">
        <v>0</v>
      </c>
      <c r="P48" s="33">
        <f t="shared" si="21"/>
        <v>32</v>
      </c>
      <c r="Q48" s="34">
        <f t="shared" si="22"/>
        <v>0</v>
      </c>
      <c r="R48" s="35">
        <f t="shared" si="23"/>
        <v>15</v>
      </c>
      <c r="S48" s="36">
        <f t="shared" si="24"/>
        <v>855</v>
      </c>
      <c r="T48" s="37" t="str">
        <f t="shared" si="25"/>
        <v/>
      </c>
    </row>
    <row r="49" spans="2:20" s="38" customFormat="1" ht="36" x14ac:dyDescent="0.25">
      <c r="B49" s="18" t="s">
        <v>321</v>
      </c>
      <c r="C49" s="23" t="s">
        <v>12</v>
      </c>
      <c r="D49" s="46" t="str">
        <f t="shared" si="13"/>
        <v>UNIVERSIDADDE INVESTIGACIONDE TECNOLOGIA EXPERIMENTAL YACHAY</v>
      </c>
      <c r="E49" s="46" t="str">
        <f t="shared" si="14"/>
        <v>Ecuador</v>
      </c>
      <c r="F49" s="32">
        <v>0</v>
      </c>
      <c r="G49" s="33">
        <f t="shared" si="15"/>
        <v>77</v>
      </c>
      <c r="H49" s="34">
        <f t="shared" si="16"/>
        <v>0</v>
      </c>
      <c r="I49" s="32">
        <v>15</v>
      </c>
      <c r="J49" s="33">
        <f t="shared" si="17"/>
        <v>57</v>
      </c>
      <c r="K49" s="34">
        <f t="shared" si="18"/>
        <v>855</v>
      </c>
      <c r="L49" s="32">
        <v>0</v>
      </c>
      <c r="M49" s="33">
        <f t="shared" si="19"/>
        <v>40</v>
      </c>
      <c r="N49" s="34">
        <f t="shared" si="20"/>
        <v>0</v>
      </c>
      <c r="O49" s="32">
        <v>0</v>
      </c>
      <c r="P49" s="33">
        <f t="shared" si="21"/>
        <v>32</v>
      </c>
      <c r="Q49" s="34">
        <f t="shared" si="22"/>
        <v>0</v>
      </c>
      <c r="R49" s="35">
        <f t="shared" si="23"/>
        <v>15</v>
      </c>
      <c r="S49" s="36">
        <f t="shared" si="24"/>
        <v>855</v>
      </c>
      <c r="T49" s="37" t="str">
        <f t="shared" si="25"/>
        <v/>
      </c>
    </row>
    <row r="50" spans="2:20" s="38" customFormat="1" ht="36" x14ac:dyDescent="0.25">
      <c r="B50" s="18" t="s">
        <v>321</v>
      </c>
      <c r="C50" s="23" t="s">
        <v>13</v>
      </c>
      <c r="D50" s="46" t="str">
        <f t="shared" si="13"/>
        <v>UNIVERSIDAD NACIONAL MAYOR DE SAN MARCOS</v>
      </c>
      <c r="E50" s="46" t="str">
        <f t="shared" si="14"/>
        <v>Peru</v>
      </c>
      <c r="F50" s="32">
        <v>0</v>
      </c>
      <c r="G50" s="33">
        <f t="shared" si="15"/>
        <v>108</v>
      </c>
      <c r="H50" s="34">
        <f t="shared" si="16"/>
        <v>0</v>
      </c>
      <c r="I50" s="32">
        <v>15</v>
      </c>
      <c r="J50" s="33">
        <f t="shared" si="17"/>
        <v>80</v>
      </c>
      <c r="K50" s="34">
        <f t="shared" si="18"/>
        <v>1200</v>
      </c>
      <c r="L50" s="32">
        <v>0</v>
      </c>
      <c r="M50" s="33">
        <f t="shared" si="19"/>
        <v>57</v>
      </c>
      <c r="N50" s="34">
        <f t="shared" si="20"/>
        <v>0</v>
      </c>
      <c r="O50" s="32">
        <v>0</v>
      </c>
      <c r="P50" s="33">
        <f t="shared" si="21"/>
        <v>45</v>
      </c>
      <c r="Q50" s="34">
        <f t="shared" si="22"/>
        <v>0</v>
      </c>
      <c r="R50" s="35">
        <f t="shared" si="23"/>
        <v>15</v>
      </c>
      <c r="S50" s="36">
        <f t="shared" si="24"/>
        <v>1200</v>
      </c>
      <c r="T50" s="37" t="str">
        <f t="shared" si="25"/>
        <v/>
      </c>
    </row>
    <row r="51" spans="2:20" s="38" customFormat="1" x14ac:dyDescent="0.25">
      <c r="B51" s="18" t="s">
        <v>321</v>
      </c>
      <c r="C51" s="23" t="s">
        <v>14</v>
      </c>
      <c r="D51" s="46" t="str">
        <f t="shared" si="13"/>
        <v xml:space="preserve">Universidad Nacional de Ingenieria </v>
      </c>
      <c r="E51" s="46" t="str">
        <f t="shared" si="14"/>
        <v>Peru</v>
      </c>
      <c r="F51" s="32">
        <v>0</v>
      </c>
      <c r="G51" s="33">
        <f t="shared" si="15"/>
        <v>108</v>
      </c>
      <c r="H51" s="34">
        <f t="shared" si="16"/>
        <v>0</v>
      </c>
      <c r="I51" s="32">
        <v>15</v>
      </c>
      <c r="J51" s="33">
        <f t="shared" si="17"/>
        <v>80</v>
      </c>
      <c r="K51" s="34">
        <f t="shared" si="18"/>
        <v>1200</v>
      </c>
      <c r="L51" s="32">
        <v>0</v>
      </c>
      <c r="M51" s="33">
        <f t="shared" si="19"/>
        <v>57</v>
      </c>
      <c r="N51" s="34">
        <f t="shared" si="20"/>
        <v>0</v>
      </c>
      <c r="O51" s="32">
        <v>0</v>
      </c>
      <c r="P51" s="33">
        <f t="shared" si="21"/>
        <v>45</v>
      </c>
      <c r="Q51" s="34">
        <f t="shared" si="22"/>
        <v>0</v>
      </c>
      <c r="R51" s="35">
        <f t="shared" si="23"/>
        <v>15</v>
      </c>
      <c r="S51" s="36">
        <f t="shared" si="24"/>
        <v>1200</v>
      </c>
      <c r="T51" s="37" t="str">
        <f t="shared" si="25"/>
        <v/>
      </c>
    </row>
    <row r="52" spans="2:20" s="38" customFormat="1" x14ac:dyDescent="0.25">
      <c r="B52" s="18" t="s">
        <v>321</v>
      </c>
      <c r="C52" s="23" t="s">
        <v>15</v>
      </c>
      <c r="D52" s="46" t="str">
        <f t="shared" si="13"/>
        <v>UNIVERSIDAD CENTRAL DE VENEZUELA</v>
      </c>
      <c r="E52" s="46" t="str">
        <f t="shared" si="14"/>
        <v>Venezuela</v>
      </c>
      <c r="F52" s="32">
        <v>10</v>
      </c>
      <c r="G52" s="33">
        <f t="shared" si="15"/>
        <v>108</v>
      </c>
      <c r="H52" s="34">
        <f t="shared" si="16"/>
        <v>1080</v>
      </c>
      <c r="I52" s="32">
        <v>15</v>
      </c>
      <c r="J52" s="33">
        <f t="shared" si="17"/>
        <v>80</v>
      </c>
      <c r="K52" s="34">
        <f t="shared" si="18"/>
        <v>1200</v>
      </c>
      <c r="L52" s="32">
        <v>0</v>
      </c>
      <c r="M52" s="33">
        <f t="shared" si="19"/>
        <v>57</v>
      </c>
      <c r="N52" s="34">
        <f t="shared" si="20"/>
        <v>0</v>
      </c>
      <c r="O52" s="32">
        <v>0</v>
      </c>
      <c r="P52" s="33">
        <f t="shared" si="21"/>
        <v>45</v>
      </c>
      <c r="Q52" s="34">
        <f t="shared" si="22"/>
        <v>0</v>
      </c>
      <c r="R52" s="35">
        <f t="shared" si="23"/>
        <v>25</v>
      </c>
      <c r="S52" s="36">
        <f t="shared" si="24"/>
        <v>2280</v>
      </c>
      <c r="T52" s="37" t="str">
        <f t="shared" si="25"/>
        <v/>
      </c>
    </row>
    <row r="53" spans="2:20" s="38" customFormat="1" x14ac:dyDescent="0.25">
      <c r="B53" s="18" t="s">
        <v>321</v>
      </c>
      <c r="C53" s="23" t="s">
        <v>16</v>
      </c>
      <c r="D53" s="46" t="str">
        <f t="shared" si="13"/>
        <v>UNIVERSIDAD SIMON BOLIVAR</v>
      </c>
      <c r="E53" s="46" t="str">
        <f t="shared" si="14"/>
        <v>Venezuela</v>
      </c>
      <c r="F53" s="32">
        <v>10</v>
      </c>
      <c r="G53" s="33">
        <f t="shared" si="15"/>
        <v>108</v>
      </c>
      <c r="H53" s="34">
        <f t="shared" si="16"/>
        <v>1080</v>
      </c>
      <c r="I53" s="32">
        <v>15</v>
      </c>
      <c r="J53" s="33">
        <f t="shared" si="17"/>
        <v>80</v>
      </c>
      <c r="K53" s="34">
        <f t="shared" si="18"/>
        <v>1200</v>
      </c>
      <c r="L53" s="32">
        <v>0</v>
      </c>
      <c r="M53" s="33">
        <f t="shared" si="19"/>
        <v>57</v>
      </c>
      <c r="N53" s="34">
        <f t="shared" si="20"/>
        <v>0</v>
      </c>
      <c r="O53" s="32">
        <v>0</v>
      </c>
      <c r="P53" s="33">
        <f t="shared" si="21"/>
        <v>45</v>
      </c>
      <c r="Q53" s="34">
        <f t="shared" si="22"/>
        <v>0</v>
      </c>
      <c r="R53" s="35">
        <f t="shared" si="23"/>
        <v>25</v>
      </c>
      <c r="S53" s="36">
        <f t="shared" si="24"/>
        <v>2280</v>
      </c>
      <c r="T53" s="37" t="str">
        <f t="shared" si="25"/>
        <v/>
      </c>
    </row>
    <row r="54" spans="2:20" s="38" customFormat="1" x14ac:dyDescent="0.25">
      <c r="B54" s="18" t="s">
        <v>321</v>
      </c>
      <c r="C54" s="23" t="s">
        <v>17</v>
      </c>
      <c r="D54" s="46" t="str">
        <f t="shared" si="13"/>
        <v>UNIVERSITE PAUL SABATIER TOULOUSE III</v>
      </c>
      <c r="E54" s="46" t="str">
        <f t="shared" si="14"/>
        <v>France</v>
      </c>
      <c r="F54" s="32">
        <v>0</v>
      </c>
      <c r="G54" s="33">
        <f t="shared" si="15"/>
        <v>280</v>
      </c>
      <c r="H54" s="34">
        <f t="shared" si="16"/>
        <v>0</v>
      </c>
      <c r="I54" s="32">
        <v>15</v>
      </c>
      <c r="J54" s="33">
        <f t="shared" si="17"/>
        <v>214</v>
      </c>
      <c r="K54" s="34">
        <f t="shared" si="18"/>
        <v>3210</v>
      </c>
      <c r="L54" s="32">
        <v>0</v>
      </c>
      <c r="M54" s="33">
        <f t="shared" si="19"/>
        <v>162</v>
      </c>
      <c r="N54" s="34">
        <f t="shared" si="20"/>
        <v>0</v>
      </c>
      <c r="O54" s="32">
        <v>0</v>
      </c>
      <c r="P54" s="33">
        <f t="shared" si="21"/>
        <v>131</v>
      </c>
      <c r="Q54" s="34">
        <f t="shared" si="22"/>
        <v>0</v>
      </c>
      <c r="R54" s="35">
        <f t="shared" si="23"/>
        <v>15</v>
      </c>
      <c r="S54" s="36">
        <f t="shared" si="24"/>
        <v>3210</v>
      </c>
      <c r="T54" s="37" t="str">
        <f t="shared" si="25"/>
        <v/>
      </c>
    </row>
    <row r="55" spans="2:20" s="38" customFormat="1" x14ac:dyDescent="0.25">
      <c r="B55" s="18" t="s">
        <v>321</v>
      </c>
      <c r="C55" s="23" t="s">
        <v>18</v>
      </c>
      <c r="D55" s="46" t="str">
        <f t="shared" si="13"/>
        <v>TECHNISCHE UNIVERSITAET DRESDEN</v>
      </c>
      <c r="E55" s="46" t="str">
        <f t="shared" si="14"/>
        <v>Germany</v>
      </c>
      <c r="F55" s="32">
        <v>0</v>
      </c>
      <c r="G55" s="33">
        <f t="shared" si="15"/>
        <v>280</v>
      </c>
      <c r="H55" s="34">
        <f t="shared" si="16"/>
        <v>0</v>
      </c>
      <c r="I55" s="32">
        <v>30</v>
      </c>
      <c r="J55" s="33">
        <f t="shared" si="17"/>
        <v>214</v>
      </c>
      <c r="K55" s="34">
        <f t="shared" si="18"/>
        <v>6420</v>
      </c>
      <c r="L55" s="32">
        <v>0</v>
      </c>
      <c r="M55" s="33">
        <f t="shared" si="19"/>
        <v>162</v>
      </c>
      <c r="N55" s="34">
        <f t="shared" si="20"/>
        <v>0</v>
      </c>
      <c r="O55" s="32">
        <v>0</v>
      </c>
      <c r="P55" s="33">
        <f t="shared" si="21"/>
        <v>131</v>
      </c>
      <c r="Q55" s="34">
        <f t="shared" si="22"/>
        <v>0</v>
      </c>
      <c r="R55" s="35">
        <f t="shared" si="23"/>
        <v>30</v>
      </c>
      <c r="S55" s="36">
        <f t="shared" si="24"/>
        <v>6420</v>
      </c>
      <c r="T55" s="37" t="str">
        <f t="shared" si="25"/>
        <v/>
      </c>
    </row>
    <row r="56" spans="2:20" s="38" customFormat="1" x14ac:dyDescent="0.25">
      <c r="B56" s="18" t="s">
        <v>174</v>
      </c>
      <c r="C56" s="23" t="s">
        <v>8</v>
      </c>
      <c r="D56" s="46" t="str">
        <f t="shared" si="13"/>
        <v>Université Paris Diderot</v>
      </c>
      <c r="E56" s="46" t="str">
        <f t="shared" si="14"/>
        <v>France</v>
      </c>
      <c r="F56" s="32">
        <v>500</v>
      </c>
      <c r="G56" s="33">
        <f t="shared" si="15"/>
        <v>280</v>
      </c>
      <c r="H56" s="34">
        <f t="shared" si="16"/>
        <v>140000</v>
      </c>
      <c r="I56" s="32">
        <v>0</v>
      </c>
      <c r="J56" s="33">
        <f t="shared" si="17"/>
        <v>214</v>
      </c>
      <c r="K56" s="34">
        <f t="shared" si="18"/>
        <v>0</v>
      </c>
      <c r="L56" s="32">
        <v>0</v>
      </c>
      <c r="M56" s="33">
        <f t="shared" si="19"/>
        <v>162</v>
      </c>
      <c r="N56" s="34">
        <f t="shared" si="20"/>
        <v>0</v>
      </c>
      <c r="O56" s="32">
        <v>0</v>
      </c>
      <c r="P56" s="33">
        <f t="shared" si="21"/>
        <v>131</v>
      </c>
      <c r="Q56" s="34">
        <f t="shared" si="22"/>
        <v>0</v>
      </c>
      <c r="R56" s="35">
        <f t="shared" si="23"/>
        <v>500</v>
      </c>
      <c r="S56" s="36">
        <f t="shared" si="24"/>
        <v>140000</v>
      </c>
      <c r="T56" s="37" t="str">
        <f t="shared" si="25"/>
        <v/>
      </c>
    </row>
    <row r="57" spans="2:20" s="38" customFormat="1" x14ac:dyDescent="0.25">
      <c r="B57" s="18" t="s">
        <v>174</v>
      </c>
      <c r="C57" s="23" t="s">
        <v>9</v>
      </c>
      <c r="D57" s="46" t="str">
        <f t="shared" si="13"/>
        <v>Universidad Industrial de Santander</v>
      </c>
      <c r="E57" s="46" t="str">
        <f t="shared" si="14"/>
        <v>Colombia</v>
      </c>
      <c r="F57" s="32">
        <v>80</v>
      </c>
      <c r="G57" s="33">
        <f t="shared" si="15"/>
        <v>108</v>
      </c>
      <c r="H57" s="34">
        <f t="shared" si="16"/>
        <v>8640</v>
      </c>
      <c r="I57" s="32">
        <v>0</v>
      </c>
      <c r="J57" s="33">
        <f t="shared" si="17"/>
        <v>80</v>
      </c>
      <c r="K57" s="34">
        <f t="shared" si="18"/>
        <v>0</v>
      </c>
      <c r="L57" s="32">
        <v>0</v>
      </c>
      <c r="M57" s="33">
        <f t="shared" si="19"/>
        <v>57</v>
      </c>
      <c r="N57" s="34">
        <f t="shared" si="20"/>
        <v>0</v>
      </c>
      <c r="O57" s="32">
        <v>0</v>
      </c>
      <c r="P57" s="33">
        <f t="shared" si="21"/>
        <v>45</v>
      </c>
      <c r="Q57" s="34">
        <f t="shared" si="22"/>
        <v>0</v>
      </c>
      <c r="R57" s="35">
        <f t="shared" si="23"/>
        <v>80</v>
      </c>
      <c r="S57" s="36">
        <f t="shared" si="24"/>
        <v>8640</v>
      </c>
      <c r="T57" s="37" t="str">
        <f t="shared" si="25"/>
        <v/>
      </c>
    </row>
    <row r="58" spans="2:20" s="38" customFormat="1" x14ac:dyDescent="0.25">
      <c r="B58" s="18" t="s">
        <v>174</v>
      </c>
      <c r="C58" s="23" t="s">
        <v>10</v>
      </c>
      <c r="D58" s="46" t="str">
        <f t="shared" si="13"/>
        <v>UNIVERSIDAD ANTONIO NARINO</v>
      </c>
      <c r="E58" s="46" t="str">
        <f t="shared" si="14"/>
        <v>Colombia</v>
      </c>
      <c r="F58" s="32">
        <v>0</v>
      </c>
      <c r="G58" s="33">
        <f t="shared" si="15"/>
        <v>108</v>
      </c>
      <c r="H58" s="34">
        <f t="shared" si="16"/>
        <v>0</v>
      </c>
      <c r="I58" s="32">
        <v>0</v>
      </c>
      <c r="J58" s="33">
        <f t="shared" si="17"/>
        <v>80</v>
      </c>
      <c r="K58" s="34">
        <f t="shared" si="18"/>
        <v>0</v>
      </c>
      <c r="L58" s="32">
        <v>0</v>
      </c>
      <c r="M58" s="33">
        <f t="shared" si="19"/>
        <v>57</v>
      </c>
      <c r="N58" s="34">
        <f t="shared" si="20"/>
        <v>0</v>
      </c>
      <c r="O58" s="32">
        <v>0</v>
      </c>
      <c r="P58" s="33">
        <f t="shared" si="21"/>
        <v>45</v>
      </c>
      <c r="Q58" s="34">
        <f t="shared" si="22"/>
        <v>0</v>
      </c>
      <c r="R58" s="35">
        <f t="shared" si="23"/>
        <v>0</v>
      </c>
      <c r="S58" s="36">
        <f t="shared" si="24"/>
        <v>0</v>
      </c>
      <c r="T58" s="37" t="str">
        <f t="shared" si="25"/>
        <v/>
      </c>
    </row>
    <row r="59" spans="2:20" s="38" customFormat="1" x14ac:dyDescent="0.25">
      <c r="B59" s="18" t="s">
        <v>174</v>
      </c>
      <c r="C59" s="23" t="s">
        <v>11</v>
      </c>
      <c r="D59" s="46" t="str">
        <f t="shared" si="13"/>
        <v>UNIVERSIDAD SAN FRANCISCO DE QUITO</v>
      </c>
      <c r="E59" s="46" t="str">
        <f t="shared" si="14"/>
        <v>Ecuador</v>
      </c>
      <c r="F59" s="32">
        <v>0</v>
      </c>
      <c r="G59" s="33">
        <f t="shared" si="15"/>
        <v>77</v>
      </c>
      <c r="H59" s="34">
        <f t="shared" si="16"/>
        <v>0</v>
      </c>
      <c r="I59" s="32">
        <v>0</v>
      </c>
      <c r="J59" s="33">
        <f t="shared" si="17"/>
        <v>57</v>
      </c>
      <c r="K59" s="34">
        <f t="shared" si="18"/>
        <v>0</v>
      </c>
      <c r="L59" s="32">
        <v>0</v>
      </c>
      <c r="M59" s="33">
        <f t="shared" si="19"/>
        <v>40</v>
      </c>
      <c r="N59" s="34">
        <f t="shared" si="20"/>
        <v>0</v>
      </c>
      <c r="O59" s="32">
        <v>0</v>
      </c>
      <c r="P59" s="33">
        <f t="shared" si="21"/>
        <v>32</v>
      </c>
      <c r="Q59" s="34">
        <f t="shared" si="22"/>
        <v>0</v>
      </c>
      <c r="R59" s="35">
        <f t="shared" si="23"/>
        <v>0</v>
      </c>
      <c r="S59" s="36">
        <f t="shared" si="24"/>
        <v>0</v>
      </c>
      <c r="T59" s="37" t="str">
        <f t="shared" si="25"/>
        <v/>
      </c>
    </row>
    <row r="60" spans="2:20" s="38" customFormat="1" ht="36" x14ac:dyDescent="0.25">
      <c r="B60" s="18" t="s">
        <v>174</v>
      </c>
      <c r="C60" s="23" t="s">
        <v>12</v>
      </c>
      <c r="D60" s="46" t="str">
        <f t="shared" si="13"/>
        <v>UNIVERSIDADDE INVESTIGACIONDE TECNOLOGIA EXPERIMENTAL YACHAY</v>
      </c>
      <c r="E60" s="46" t="str">
        <f t="shared" si="14"/>
        <v>Ecuador</v>
      </c>
      <c r="F60" s="32">
        <v>0</v>
      </c>
      <c r="G60" s="33">
        <f t="shared" si="15"/>
        <v>77</v>
      </c>
      <c r="H60" s="34">
        <f t="shared" si="16"/>
        <v>0</v>
      </c>
      <c r="I60" s="32">
        <v>0</v>
      </c>
      <c r="J60" s="33">
        <f t="shared" si="17"/>
        <v>57</v>
      </c>
      <c r="K60" s="34">
        <f t="shared" si="18"/>
        <v>0</v>
      </c>
      <c r="L60" s="32">
        <v>0</v>
      </c>
      <c r="M60" s="33">
        <f t="shared" si="19"/>
        <v>40</v>
      </c>
      <c r="N60" s="34">
        <f t="shared" si="20"/>
        <v>0</v>
      </c>
      <c r="O60" s="32">
        <v>0</v>
      </c>
      <c r="P60" s="33">
        <f t="shared" si="21"/>
        <v>32</v>
      </c>
      <c r="Q60" s="34">
        <f t="shared" si="22"/>
        <v>0</v>
      </c>
      <c r="R60" s="35">
        <f t="shared" si="23"/>
        <v>0</v>
      </c>
      <c r="S60" s="36">
        <f t="shared" si="24"/>
        <v>0</v>
      </c>
      <c r="T60" s="37" t="str">
        <f t="shared" si="25"/>
        <v/>
      </c>
    </row>
    <row r="61" spans="2:20" s="38" customFormat="1" ht="36" x14ac:dyDescent="0.25">
      <c r="B61" s="18" t="s">
        <v>174</v>
      </c>
      <c r="C61" s="23" t="s">
        <v>13</v>
      </c>
      <c r="D61" s="46" t="str">
        <f t="shared" si="13"/>
        <v>UNIVERSIDAD NACIONAL MAYOR DE SAN MARCOS</v>
      </c>
      <c r="E61" s="46" t="str">
        <f t="shared" si="14"/>
        <v>Peru</v>
      </c>
      <c r="F61" s="32">
        <v>0</v>
      </c>
      <c r="G61" s="33">
        <f t="shared" si="15"/>
        <v>108</v>
      </c>
      <c r="H61" s="34">
        <f t="shared" si="16"/>
        <v>0</v>
      </c>
      <c r="I61" s="32">
        <v>0</v>
      </c>
      <c r="J61" s="33">
        <f t="shared" si="17"/>
        <v>80</v>
      </c>
      <c r="K61" s="34">
        <f t="shared" si="18"/>
        <v>0</v>
      </c>
      <c r="L61" s="32">
        <v>0</v>
      </c>
      <c r="M61" s="33">
        <f t="shared" si="19"/>
        <v>57</v>
      </c>
      <c r="N61" s="34">
        <f t="shared" si="20"/>
        <v>0</v>
      </c>
      <c r="O61" s="32">
        <v>0</v>
      </c>
      <c r="P61" s="33">
        <f t="shared" si="21"/>
        <v>45</v>
      </c>
      <c r="Q61" s="34">
        <f t="shared" si="22"/>
        <v>0</v>
      </c>
      <c r="R61" s="35">
        <f t="shared" si="23"/>
        <v>0</v>
      </c>
      <c r="S61" s="36">
        <f t="shared" si="24"/>
        <v>0</v>
      </c>
      <c r="T61" s="37" t="str">
        <f t="shared" si="25"/>
        <v/>
      </c>
    </row>
    <row r="62" spans="2:20" s="38" customFormat="1" x14ac:dyDescent="0.25">
      <c r="B62" s="18" t="s">
        <v>174</v>
      </c>
      <c r="C62" s="23" t="s">
        <v>14</v>
      </c>
      <c r="D62" s="46" t="str">
        <f t="shared" si="13"/>
        <v xml:space="preserve">Universidad Nacional de Ingenieria </v>
      </c>
      <c r="E62" s="46" t="str">
        <f t="shared" si="14"/>
        <v>Peru</v>
      </c>
      <c r="F62" s="32">
        <v>0</v>
      </c>
      <c r="G62" s="33">
        <f t="shared" si="15"/>
        <v>108</v>
      </c>
      <c r="H62" s="34">
        <f t="shared" si="16"/>
        <v>0</v>
      </c>
      <c r="I62" s="32">
        <v>0</v>
      </c>
      <c r="J62" s="33">
        <f t="shared" si="17"/>
        <v>80</v>
      </c>
      <c r="K62" s="34">
        <f t="shared" si="18"/>
        <v>0</v>
      </c>
      <c r="L62" s="32">
        <v>0</v>
      </c>
      <c r="M62" s="33">
        <f t="shared" si="19"/>
        <v>57</v>
      </c>
      <c r="N62" s="34">
        <f t="shared" si="20"/>
        <v>0</v>
      </c>
      <c r="O62" s="32">
        <v>0</v>
      </c>
      <c r="P62" s="33">
        <f t="shared" si="21"/>
        <v>45</v>
      </c>
      <c r="Q62" s="34">
        <f t="shared" si="22"/>
        <v>0</v>
      </c>
      <c r="R62" s="35">
        <f t="shared" si="23"/>
        <v>0</v>
      </c>
      <c r="S62" s="36">
        <f t="shared" si="24"/>
        <v>0</v>
      </c>
      <c r="T62" s="37" t="str">
        <f t="shared" si="25"/>
        <v/>
      </c>
    </row>
    <row r="63" spans="2:20" s="38" customFormat="1" x14ac:dyDescent="0.25">
      <c r="B63" s="18" t="s">
        <v>174</v>
      </c>
      <c r="C63" s="23" t="s">
        <v>15</v>
      </c>
      <c r="D63" s="46" t="str">
        <f t="shared" si="13"/>
        <v>UNIVERSIDAD CENTRAL DE VENEZUELA</v>
      </c>
      <c r="E63" s="46" t="str">
        <f t="shared" si="14"/>
        <v>Venezuela</v>
      </c>
      <c r="F63" s="32">
        <v>0</v>
      </c>
      <c r="G63" s="33">
        <f t="shared" si="15"/>
        <v>108</v>
      </c>
      <c r="H63" s="34">
        <f t="shared" si="16"/>
        <v>0</v>
      </c>
      <c r="I63" s="32">
        <v>0</v>
      </c>
      <c r="J63" s="33">
        <f t="shared" si="17"/>
        <v>80</v>
      </c>
      <c r="K63" s="34">
        <f t="shared" si="18"/>
        <v>0</v>
      </c>
      <c r="L63" s="32">
        <v>0</v>
      </c>
      <c r="M63" s="33">
        <f t="shared" si="19"/>
        <v>57</v>
      </c>
      <c r="N63" s="34">
        <f t="shared" si="20"/>
        <v>0</v>
      </c>
      <c r="O63" s="32">
        <v>0</v>
      </c>
      <c r="P63" s="33">
        <f t="shared" si="21"/>
        <v>45</v>
      </c>
      <c r="Q63" s="34">
        <f t="shared" si="22"/>
        <v>0</v>
      </c>
      <c r="R63" s="35">
        <f t="shared" si="23"/>
        <v>0</v>
      </c>
      <c r="S63" s="36">
        <f t="shared" si="24"/>
        <v>0</v>
      </c>
      <c r="T63" s="37" t="str">
        <f t="shared" si="25"/>
        <v/>
      </c>
    </row>
    <row r="64" spans="2:20" s="38" customFormat="1" x14ac:dyDescent="0.25">
      <c r="B64" s="18" t="s">
        <v>174</v>
      </c>
      <c r="C64" s="23" t="s">
        <v>16</v>
      </c>
      <c r="D64" s="46" t="str">
        <f t="shared" si="13"/>
        <v>UNIVERSIDAD SIMON BOLIVAR</v>
      </c>
      <c r="E64" s="46" t="str">
        <f t="shared" si="14"/>
        <v>Venezuela</v>
      </c>
      <c r="F64" s="32">
        <v>0</v>
      </c>
      <c r="G64" s="33">
        <f t="shared" si="15"/>
        <v>108</v>
      </c>
      <c r="H64" s="34">
        <f t="shared" si="16"/>
        <v>0</v>
      </c>
      <c r="I64" s="32">
        <v>0</v>
      </c>
      <c r="J64" s="33">
        <f t="shared" si="17"/>
        <v>80</v>
      </c>
      <c r="K64" s="34">
        <f t="shared" si="18"/>
        <v>0</v>
      </c>
      <c r="L64" s="32">
        <v>0</v>
      </c>
      <c r="M64" s="33">
        <f t="shared" si="19"/>
        <v>57</v>
      </c>
      <c r="N64" s="34">
        <f t="shared" si="20"/>
        <v>0</v>
      </c>
      <c r="O64" s="32">
        <v>0</v>
      </c>
      <c r="P64" s="33">
        <f t="shared" si="21"/>
        <v>45</v>
      </c>
      <c r="Q64" s="34">
        <f t="shared" si="22"/>
        <v>0</v>
      </c>
      <c r="R64" s="35">
        <f t="shared" si="23"/>
        <v>0</v>
      </c>
      <c r="S64" s="36">
        <f t="shared" si="24"/>
        <v>0</v>
      </c>
      <c r="T64" s="37" t="str">
        <f t="shared" si="25"/>
        <v/>
      </c>
    </row>
    <row r="65" spans="2:20" s="38" customFormat="1" x14ac:dyDescent="0.25">
      <c r="B65" s="18" t="s">
        <v>174</v>
      </c>
      <c r="C65" s="23" t="s">
        <v>17</v>
      </c>
      <c r="D65" s="46" t="str">
        <f t="shared" si="13"/>
        <v>UNIVERSITE PAUL SABATIER TOULOUSE III</v>
      </c>
      <c r="E65" s="46" t="str">
        <f t="shared" si="14"/>
        <v>France</v>
      </c>
      <c r="F65" s="32">
        <v>0</v>
      </c>
      <c r="G65" s="33">
        <f t="shared" si="15"/>
        <v>280</v>
      </c>
      <c r="H65" s="34">
        <f t="shared" si="16"/>
        <v>0</v>
      </c>
      <c r="I65" s="32">
        <v>0</v>
      </c>
      <c r="J65" s="33">
        <f t="shared" si="17"/>
        <v>214</v>
      </c>
      <c r="K65" s="34">
        <f t="shared" si="18"/>
        <v>0</v>
      </c>
      <c r="L65" s="32">
        <v>0</v>
      </c>
      <c r="M65" s="33">
        <f t="shared" si="19"/>
        <v>162</v>
      </c>
      <c r="N65" s="34">
        <f t="shared" si="20"/>
        <v>0</v>
      </c>
      <c r="O65" s="32">
        <v>0</v>
      </c>
      <c r="P65" s="33">
        <f t="shared" si="21"/>
        <v>131</v>
      </c>
      <c r="Q65" s="34">
        <f t="shared" si="22"/>
        <v>0</v>
      </c>
      <c r="R65" s="35">
        <f t="shared" si="23"/>
        <v>0</v>
      </c>
      <c r="S65" s="36">
        <f t="shared" si="24"/>
        <v>0</v>
      </c>
      <c r="T65" s="37" t="str">
        <f t="shared" si="25"/>
        <v/>
      </c>
    </row>
    <row r="66" spans="2:20" s="38" customFormat="1" x14ac:dyDescent="0.25">
      <c r="B66" s="18" t="s">
        <v>174</v>
      </c>
      <c r="C66" s="23" t="s">
        <v>18</v>
      </c>
      <c r="D66" s="46" t="str">
        <f t="shared" si="13"/>
        <v>TECHNISCHE UNIVERSITAET DRESDEN</v>
      </c>
      <c r="E66" s="46" t="str">
        <f t="shared" si="14"/>
        <v>Germany</v>
      </c>
      <c r="F66" s="32">
        <v>0</v>
      </c>
      <c r="G66" s="33">
        <f t="shared" si="15"/>
        <v>280</v>
      </c>
      <c r="H66" s="34">
        <f t="shared" si="16"/>
        <v>0</v>
      </c>
      <c r="I66" s="32">
        <v>0</v>
      </c>
      <c r="J66" s="33">
        <f t="shared" si="17"/>
        <v>214</v>
      </c>
      <c r="K66" s="34">
        <f t="shared" si="18"/>
        <v>0</v>
      </c>
      <c r="L66" s="32">
        <v>0</v>
      </c>
      <c r="M66" s="33">
        <f t="shared" si="19"/>
        <v>162</v>
      </c>
      <c r="N66" s="34">
        <f t="shared" si="20"/>
        <v>0</v>
      </c>
      <c r="O66" s="32">
        <v>0</v>
      </c>
      <c r="P66" s="33">
        <f t="shared" si="21"/>
        <v>131</v>
      </c>
      <c r="Q66" s="34">
        <f t="shared" si="22"/>
        <v>0</v>
      </c>
      <c r="R66" s="35">
        <f t="shared" si="23"/>
        <v>0</v>
      </c>
      <c r="S66" s="36">
        <f t="shared" si="24"/>
        <v>0</v>
      </c>
      <c r="T66" s="37" t="str">
        <f t="shared" si="25"/>
        <v/>
      </c>
    </row>
  </sheetData>
  <sheetProtection password="E359"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1800" priority="1147" operator="containsText" text="Error">
      <formula>NOT(ISERROR(SEARCH("Error",T13)))</formula>
    </cfRule>
  </conditionalFormatting>
  <conditionalFormatting sqref="D13:E14">
    <cfRule type="containsBlanks" dxfId="1799" priority="1143">
      <formula>LEN(TRIM(D13))=0</formula>
    </cfRule>
  </conditionalFormatting>
  <conditionalFormatting sqref="F14 I14 L14 O14">
    <cfRule type="expression" dxfId="1798" priority="514">
      <formula>ISNUMBER(F14)=FALSE</formula>
    </cfRule>
  </conditionalFormatting>
  <conditionalFormatting sqref="F13 I13 L13 O13">
    <cfRule type="expression" dxfId="1797" priority="513">
      <formula>ISNUMBER(F13)=FALSE</formula>
    </cfRule>
  </conditionalFormatting>
  <conditionalFormatting sqref="B13:C13">
    <cfRule type="containsBlanks" dxfId="1796" priority="506">
      <formula>LEN(TRIM(B13))=0</formula>
    </cfRule>
  </conditionalFormatting>
  <conditionalFormatting sqref="B14:C14">
    <cfRule type="containsBlanks" dxfId="1795" priority="505">
      <formula>LEN(TRIM(B14))=0</formula>
    </cfRule>
  </conditionalFormatting>
  <conditionalFormatting sqref="T15">
    <cfRule type="containsText" dxfId="1794" priority="220" operator="containsText" text="Error">
      <formula>NOT(ISERROR(SEARCH("Error",T15)))</formula>
    </cfRule>
  </conditionalFormatting>
  <conditionalFormatting sqref="D15:E15">
    <cfRule type="containsBlanks" dxfId="1793" priority="219">
      <formula>LEN(TRIM(D15))=0</formula>
    </cfRule>
  </conditionalFormatting>
  <conditionalFormatting sqref="F15 I15 L15 O15">
    <cfRule type="expression" dxfId="1792" priority="218">
      <formula>ISNUMBER(F15)=FALSE</formula>
    </cfRule>
  </conditionalFormatting>
  <conditionalFormatting sqref="B15:C15">
    <cfRule type="containsBlanks" dxfId="1791" priority="217">
      <formula>LEN(TRIM(B15))=0</formula>
    </cfRule>
  </conditionalFormatting>
  <conditionalFormatting sqref="T16">
    <cfRule type="containsText" dxfId="1790" priority="216" operator="containsText" text="Error">
      <formula>NOT(ISERROR(SEARCH("Error",T16)))</formula>
    </cfRule>
  </conditionalFormatting>
  <conditionalFormatting sqref="D16:E16">
    <cfRule type="containsBlanks" dxfId="1789" priority="215">
      <formula>LEN(TRIM(D16))=0</formula>
    </cfRule>
  </conditionalFormatting>
  <conditionalFormatting sqref="F16 I16 L16 O16">
    <cfRule type="expression" dxfId="1788" priority="214">
      <formula>ISNUMBER(F16)=FALSE</formula>
    </cfRule>
  </conditionalFormatting>
  <conditionalFormatting sqref="B16:C16">
    <cfRule type="containsBlanks" dxfId="1787" priority="213">
      <formula>LEN(TRIM(B16))=0</formula>
    </cfRule>
  </conditionalFormatting>
  <conditionalFormatting sqref="T17">
    <cfRule type="containsText" dxfId="1786" priority="212" operator="containsText" text="Error">
      <formula>NOT(ISERROR(SEARCH("Error",T17)))</formula>
    </cfRule>
  </conditionalFormatting>
  <conditionalFormatting sqref="D17:E17">
    <cfRule type="containsBlanks" dxfId="1785" priority="211">
      <formula>LEN(TRIM(D17))=0</formula>
    </cfRule>
  </conditionalFormatting>
  <conditionalFormatting sqref="F17 I17 L17 O17">
    <cfRule type="expression" dxfId="1784" priority="210">
      <formula>ISNUMBER(F17)=FALSE</formula>
    </cfRule>
  </conditionalFormatting>
  <conditionalFormatting sqref="B17:C17">
    <cfRule type="containsBlanks" dxfId="1783" priority="209">
      <formula>LEN(TRIM(B17))=0</formula>
    </cfRule>
  </conditionalFormatting>
  <conditionalFormatting sqref="T18">
    <cfRule type="containsText" dxfId="1782" priority="208" operator="containsText" text="Error">
      <formula>NOT(ISERROR(SEARCH("Error",T18)))</formula>
    </cfRule>
  </conditionalFormatting>
  <conditionalFormatting sqref="D18:E18">
    <cfRule type="containsBlanks" dxfId="1781" priority="207">
      <formula>LEN(TRIM(D18))=0</formula>
    </cfRule>
  </conditionalFormatting>
  <conditionalFormatting sqref="F18 I18 L18 O18">
    <cfRule type="expression" dxfId="1780" priority="206">
      <formula>ISNUMBER(F18)=FALSE</formula>
    </cfRule>
  </conditionalFormatting>
  <conditionalFormatting sqref="B18:C18">
    <cfRule type="containsBlanks" dxfId="1779" priority="205">
      <formula>LEN(TRIM(B18))=0</formula>
    </cfRule>
  </conditionalFormatting>
  <conditionalFormatting sqref="T19">
    <cfRule type="containsText" dxfId="1778" priority="204" operator="containsText" text="Error">
      <formula>NOT(ISERROR(SEARCH("Error",T19)))</formula>
    </cfRule>
  </conditionalFormatting>
  <conditionalFormatting sqref="D19:E19">
    <cfRule type="containsBlanks" dxfId="1777" priority="203">
      <formula>LEN(TRIM(D19))=0</formula>
    </cfRule>
  </conditionalFormatting>
  <conditionalFormatting sqref="F19 I19 L19 O19">
    <cfRule type="expression" dxfId="1776" priority="202">
      <formula>ISNUMBER(F19)=FALSE</formula>
    </cfRule>
  </conditionalFormatting>
  <conditionalFormatting sqref="B19:C19">
    <cfRule type="containsBlanks" dxfId="1775" priority="201">
      <formula>LEN(TRIM(B19))=0</formula>
    </cfRule>
  </conditionalFormatting>
  <conditionalFormatting sqref="T20">
    <cfRule type="containsText" dxfId="1774" priority="200" operator="containsText" text="Error">
      <formula>NOT(ISERROR(SEARCH("Error",T20)))</formula>
    </cfRule>
  </conditionalFormatting>
  <conditionalFormatting sqref="D20:E20">
    <cfRule type="containsBlanks" dxfId="1773" priority="199">
      <formula>LEN(TRIM(D20))=0</formula>
    </cfRule>
  </conditionalFormatting>
  <conditionalFormatting sqref="F20 I20 L20 O20">
    <cfRule type="expression" dxfId="1772" priority="198">
      <formula>ISNUMBER(F20)=FALSE</formula>
    </cfRule>
  </conditionalFormatting>
  <conditionalFormatting sqref="B20:C20">
    <cfRule type="containsBlanks" dxfId="1771" priority="197">
      <formula>LEN(TRIM(B20))=0</formula>
    </cfRule>
  </conditionalFormatting>
  <conditionalFormatting sqref="T21">
    <cfRule type="containsText" dxfId="1770" priority="196" operator="containsText" text="Error">
      <formula>NOT(ISERROR(SEARCH("Error",T21)))</formula>
    </cfRule>
  </conditionalFormatting>
  <conditionalFormatting sqref="D21:E21">
    <cfRule type="containsBlanks" dxfId="1769" priority="195">
      <formula>LEN(TRIM(D21))=0</formula>
    </cfRule>
  </conditionalFormatting>
  <conditionalFormatting sqref="F21 I21 L21 O21">
    <cfRule type="expression" dxfId="1768" priority="194">
      <formula>ISNUMBER(F21)=FALSE</formula>
    </cfRule>
  </conditionalFormatting>
  <conditionalFormatting sqref="B21:C21">
    <cfRule type="containsBlanks" dxfId="1767" priority="193">
      <formula>LEN(TRIM(B21))=0</formula>
    </cfRule>
  </conditionalFormatting>
  <conditionalFormatting sqref="T22">
    <cfRule type="containsText" dxfId="1766" priority="192" operator="containsText" text="Error">
      <formula>NOT(ISERROR(SEARCH("Error",T22)))</formula>
    </cfRule>
  </conditionalFormatting>
  <conditionalFormatting sqref="D22:E22">
    <cfRule type="containsBlanks" dxfId="1765" priority="191">
      <formula>LEN(TRIM(D22))=0</formula>
    </cfRule>
  </conditionalFormatting>
  <conditionalFormatting sqref="F22 I22 L22 O22">
    <cfRule type="expression" dxfId="1764" priority="190">
      <formula>ISNUMBER(F22)=FALSE</formula>
    </cfRule>
  </conditionalFormatting>
  <conditionalFormatting sqref="B22:C22">
    <cfRule type="containsBlanks" dxfId="1763" priority="189">
      <formula>LEN(TRIM(B22))=0</formula>
    </cfRule>
  </conditionalFormatting>
  <conditionalFormatting sqref="T23">
    <cfRule type="containsText" dxfId="1762" priority="188" operator="containsText" text="Error">
      <formula>NOT(ISERROR(SEARCH("Error",T23)))</formula>
    </cfRule>
  </conditionalFormatting>
  <conditionalFormatting sqref="D23:E23">
    <cfRule type="containsBlanks" dxfId="1761" priority="187">
      <formula>LEN(TRIM(D23))=0</formula>
    </cfRule>
  </conditionalFormatting>
  <conditionalFormatting sqref="F23 I23 L23 O23">
    <cfRule type="expression" dxfId="1760" priority="186">
      <formula>ISNUMBER(F23)=FALSE</formula>
    </cfRule>
  </conditionalFormatting>
  <conditionalFormatting sqref="B23:C23">
    <cfRule type="containsBlanks" dxfId="1759" priority="185">
      <formula>LEN(TRIM(B23))=0</formula>
    </cfRule>
  </conditionalFormatting>
  <conditionalFormatting sqref="T24">
    <cfRule type="containsText" dxfId="1758" priority="184" operator="containsText" text="Error">
      <formula>NOT(ISERROR(SEARCH("Error",T24)))</formula>
    </cfRule>
  </conditionalFormatting>
  <conditionalFormatting sqref="D24:E24">
    <cfRule type="containsBlanks" dxfId="1757" priority="183">
      <formula>LEN(TRIM(D24))=0</formula>
    </cfRule>
  </conditionalFormatting>
  <conditionalFormatting sqref="F24 I24 L24 O24">
    <cfRule type="expression" dxfId="1756" priority="182">
      <formula>ISNUMBER(F24)=FALSE</formula>
    </cfRule>
  </conditionalFormatting>
  <conditionalFormatting sqref="B24:C24">
    <cfRule type="containsBlanks" dxfId="1755" priority="181">
      <formula>LEN(TRIM(B24))=0</formula>
    </cfRule>
  </conditionalFormatting>
  <conditionalFormatting sqref="T25">
    <cfRule type="containsText" dxfId="1754" priority="180" operator="containsText" text="Error">
      <formula>NOT(ISERROR(SEARCH("Error",T25)))</formula>
    </cfRule>
  </conditionalFormatting>
  <conditionalFormatting sqref="D25:E25">
    <cfRule type="containsBlanks" dxfId="1753" priority="179">
      <formula>LEN(TRIM(D25))=0</formula>
    </cfRule>
  </conditionalFormatting>
  <conditionalFormatting sqref="F25 I25 L25 O25">
    <cfRule type="expression" dxfId="1752" priority="178">
      <formula>ISNUMBER(F25)=FALSE</formula>
    </cfRule>
  </conditionalFormatting>
  <conditionalFormatting sqref="B25:C25">
    <cfRule type="containsBlanks" dxfId="1751" priority="177">
      <formula>LEN(TRIM(B25))=0</formula>
    </cfRule>
  </conditionalFormatting>
  <conditionalFormatting sqref="T26">
    <cfRule type="containsText" dxfId="1750" priority="176" operator="containsText" text="Error">
      <formula>NOT(ISERROR(SEARCH("Error",T26)))</formula>
    </cfRule>
  </conditionalFormatting>
  <conditionalFormatting sqref="D26:E26">
    <cfRule type="containsBlanks" dxfId="1749" priority="175">
      <formula>LEN(TRIM(D26))=0</formula>
    </cfRule>
  </conditionalFormatting>
  <conditionalFormatting sqref="F26 I26 L26 O26">
    <cfRule type="expression" dxfId="1748" priority="174">
      <formula>ISNUMBER(F26)=FALSE</formula>
    </cfRule>
  </conditionalFormatting>
  <conditionalFormatting sqref="B26:C26">
    <cfRule type="containsBlanks" dxfId="1747" priority="173">
      <formula>LEN(TRIM(B26))=0</formula>
    </cfRule>
  </conditionalFormatting>
  <conditionalFormatting sqref="T27">
    <cfRule type="containsText" dxfId="1746" priority="172" operator="containsText" text="Error">
      <formula>NOT(ISERROR(SEARCH("Error",T27)))</formula>
    </cfRule>
  </conditionalFormatting>
  <conditionalFormatting sqref="D27:E27">
    <cfRule type="containsBlanks" dxfId="1745" priority="171">
      <formula>LEN(TRIM(D27))=0</formula>
    </cfRule>
  </conditionalFormatting>
  <conditionalFormatting sqref="F27 I27 L27 O27">
    <cfRule type="expression" dxfId="1744" priority="170">
      <formula>ISNUMBER(F27)=FALSE</formula>
    </cfRule>
  </conditionalFormatting>
  <conditionalFormatting sqref="B27:C27">
    <cfRule type="containsBlanks" dxfId="1743" priority="169">
      <formula>LEN(TRIM(B27))=0</formula>
    </cfRule>
  </conditionalFormatting>
  <conditionalFormatting sqref="T28">
    <cfRule type="containsText" dxfId="1742" priority="168" operator="containsText" text="Error">
      <formula>NOT(ISERROR(SEARCH("Error",T28)))</formula>
    </cfRule>
  </conditionalFormatting>
  <conditionalFormatting sqref="D28:E28">
    <cfRule type="containsBlanks" dxfId="1741" priority="167">
      <formula>LEN(TRIM(D28))=0</formula>
    </cfRule>
  </conditionalFormatting>
  <conditionalFormatting sqref="F28 I28 L28 O28">
    <cfRule type="expression" dxfId="1740" priority="166">
      <formula>ISNUMBER(F28)=FALSE</formula>
    </cfRule>
  </conditionalFormatting>
  <conditionalFormatting sqref="B28:C28">
    <cfRule type="containsBlanks" dxfId="1739" priority="165">
      <formula>LEN(TRIM(B28))=0</formula>
    </cfRule>
  </conditionalFormatting>
  <conditionalFormatting sqref="T29">
    <cfRule type="containsText" dxfId="1738" priority="164" operator="containsText" text="Error">
      <formula>NOT(ISERROR(SEARCH("Error",T29)))</formula>
    </cfRule>
  </conditionalFormatting>
  <conditionalFormatting sqref="D29:E29">
    <cfRule type="containsBlanks" dxfId="1737" priority="163">
      <formula>LEN(TRIM(D29))=0</formula>
    </cfRule>
  </conditionalFormatting>
  <conditionalFormatting sqref="F29 I29 L29 O29">
    <cfRule type="expression" dxfId="1736" priority="162">
      <formula>ISNUMBER(F29)=FALSE</formula>
    </cfRule>
  </conditionalFormatting>
  <conditionalFormatting sqref="B29:C29">
    <cfRule type="containsBlanks" dxfId="1735" priority="161">
      <formula>LEN(TRIM(B29))=0</formula>
    </cfRule>
  </conditionalFormatting>
  <conditionalFormatting sqref="T30">
    <cfRule type="containsText" dxfId="1734" priority="160" operator="containsText" text="Error">
      <formula>NOT(ISERROR(SEARCH("Error",T30)))</formula>
    </cfRule>
  </conditionalFormatting>
  <conditionalFormatting sqref="D30:E30">
    <cfRule type="containsBlanks" dxfId="1733" priority="159">
      <formula>LEN(TRIM(D30))=0</formula>
    </cfRule>
  </conditionalFormatting>
  <conditionalFormatting sqref="F30 I30 L30 O30">
    <cfRule type="expression" dxfId="1732" priority="158">
      <formula>ISNUMBER(F30)=FALSE</formula>
    </cfRule>
  </conditionalFormatting>
  <conditionalFormatting sqref="B30:C30">
    <cfRule type="containsBlanks" dxfId="1731" priority="157">
      <formula>LEN(TRIM(B30))=0</formula>
    </cfRule>
  </conditionalFormatting>
  <conditionalFormatting sqref="T31">
    <cfRule type="containsText" dxfId="1730" priority="156" operator="containsText" text="Error">
      <formula>NOT(ISERROR(SEARCH("Error",T31)))</formula>
    </cfRule>
  </conditionalFormatting>
  <conditionalFormatting sqref="D31:E31">
    <cfRule type="containsBlanks" dxfId="1729" priority="155">
      <formula>LEN(TRIM(D31))=0</formula>
    </cfRule>
  </conditionalFormatting>
  <conditionalFormatting sqref="F31 I31 L31 O31">
    <cfRule type="expression" dxfId="1728" priority="154">
      <formula>ISNUMBER(F31)=FALSE</formula>
    </cfRule>
  </conditionalFormatting>
  <conditionalFormatting sqref="B31:C31">
    <cfRule type="containsBlanks" dxfId="1727" priority="153">
      <formula>LEN(TRIM(B31))=0</formula>
    </cfRule>
  </conditionalFormatting>
  <conditionalFormatting sqref="T32">
    <cfRule type="containsText" dxfId="1726" priority="152" operator="containsText" text="Error">
      <formula>NOT(ISERROR(SEARCH("Error",T32)))</formula>
    </cfRule>
  </conditionalFormatting>
  <conditionalFormatting sqref="D32:E32">
    <cfRule type="containsBlanks" dxfId="1725" priority="151">
      <formula>LEN(TRIM(D32))=0</formula>
    </cfRule>
  </conditionalFormatting>
  <conditionalFormatting sqref="F32 I32 L32 O32">
    <cfRule type="expression" dxfId="1724" priority="150">
      <formula>ISNUMBER(F32)=FALSE</formula>
    </cfRule>
  </conditionalFormatting>
  <conditionalFormatting sqref="B32:C32">
    <cfRule type="containsBlanks" dxfId="1723" priority="149">
      <formula>LEN(TRIM(B32))=0</formula>
    </cfRule>
  </conditionalFormatting>
  <conditionalFormatting sqref="T33">
    <cfRule type="containsText" dxfId="1722" priority="148" operator="containsText" text="Error">
      <formula>NOT(ISERROR(SEARCH("Error",T33)))</formula>
    </cfRule>
  </conditionalFormatting>
  <conditionalFormatting sqref="D33:E33">
    <cfRule type="containsBlanks" dxfId="1721" priority="147">
      <formula>LEN(TRIM(D33))=0</formula>
    </cfRule>
  </conditionalFormatting>
  <conditionalFormatting sqref="F33 I33 L33 O33">
    <cfRule type="expression" dxfId="1720" priority="146">
      <formula>ISNUMBER(F33)=FALSE</formula>
    </cfRule>
  </conditionalFormatting>
  <conditionalFormatting sqref="B33:C33">
    <cfRule type="containsBlanks" dxfId="1719" priority="145">
      <formula>LEN(TRIM(B33))=0</formula>
    </cfRule>
  </conditionalFormatting>
  <conditionalFormatting sqref="T34">
    <cfRule type="containsText" dxfId="1718" priority="144" operator="containsText" text="Error">
      <formula>NOT(ISERROR(SEARCH("Error",T34)))</formula>
    </cfRule>
  </conditionalFormatting>
  <conditionalFormatting sqref="D34:E34">
    <cfRule type="containsBlanks" dxfId="1717" priority="143">
      <formula>LEN(TRIM(D34))=0</formula>
    </cfRule>
  </conditionalFormatting>
  <conditionalFormatting sqref="F34 I34 L34 O34">
    <cfRule type="expression" dxfId="1716" priority="142">
      <formula>ISNUMBER(F34)=FALSE</formula>
    </cfRule>
  </conditionalFormatting>
  <conditionalFormatting sqref="B34:C34">
    <cfRule type="containsBlanks" dxfId="1715" priority="141">
      <formula>LEN(TRIM(B34))=0</formula>
    </cfRule>
  </conditionalFormatting>
  <conditionalFormatting sqref="T35">
    <cfRule type="containsText" dxfId="1714" priority="140" operator="containsText" text="Error">
      <formula>NOT(ISERROR(SEARCH("Error",T35)))</formula>
    </cfRule>
  </conditionalFormatting>
  <conditionalFormatting sqref="D35:E35">
    <cfRule type="containsBlanks" dxfId="1713" priority="139">
      <formula>LEN(TRIM(D35))=0</formula>
    </cfRule>
  </conditionalFormatting>
  <conditionalFormatting sqref="F35 I35 L35 O35">
    <cfRule type="expression" dxfId="1712" priority="138">
      <formula>ISNUMBER(F35)=FALSE</formula>
    </cfRule>
  </conditionalFormatting>
  <conditionalFormatting sqref="B35:C35">
    <cfRule type="containsBlanks" dxfId="1711" priority="137">
      <formula>LEN(TRIM(B35))=0</formula>
    </cfRule>
  </conditionalFormatting>
  <conditionalFormatting sqref="T36">
    <cfRule type="containsText" dxfId="1710" priority="136" operator="containsText" text="Error">
      <formula>NOT(ISERROR(SEARCH("Error",T36)))</formula>
    </cfRule>
  </conditionalFormatting>
  <conditionalFormatting sqref="D36:E36">
    <cfRule type="containsBlanks" dxfId="1709" priority="135">
      <formula>LEN(TRIM(D36))=0</formula>
    </cfRule>
  </conditionalFormatting>
  <conditionalFormatting sqref="F36 I36 L36 O36">
    <cfRule type="expression" dxfId="1708" priority="134">
      <formula>ISNUMBER(F36)=FALSE</formula>
    </cfRule>
  </conditionalFormatting>
  <conditionalFormatting sqref="B36:C36">
    <cfRule type="containsBlanks" dxfId="1707" priority="133">
      <formula>LEN(TRIM(B36))=0</formula>
    </cfRule>
  </conditionalFormatting>
  <conditionalFormatting sqref="T37">
    <cfRule type="containsText" dxfId="1706" priority="132" operator="containsText" text="Error">
      <formula>NOT(ISERROR(SEARCH("Error",T37)))</formula>
    </cfRule>
  </conditionalFormatting>
  <conditionalFormatting sqref="D37:E37">
    <cfRule type="containsBlanks" dxfId="1705" priority="131">
      <formula>LEN(TRIM(D37))=0</formula>
    </cfRule>
  </conditionalFormatting>
  <conditionalFormatting sqref="F37 I37 L37 O37">
    <cfRule type="expression" dxfId="1704" priority="130">
      <formula>ISNUMBER(F37)=FALSE</formula>
    </cfRule>
  </conditionalFormatting>
  <conditionalFormatting sqref="B37:C37">
    <cfRule type="containsBlanks" dxfId="1703" priority="129">
      <formula>LEN(TRIM(B37))=0</formula>
    </cfRule>
  </conditionalFormatting>
  <conditionalFormatting sqref="T38">
    <cfRule type="containsText" dxfId="1702" priority="128" operator="containsText" text="Error">
      <formula>NOT(ISERROR(SEARCH("Error",T38)))</formula>
    </cfRule>
  </conditionalFormatting>
  <conditionalFormatting sqref="D38:E38">
    <cfRule type="containsBlanks" dxfId="1701" priority="127">
      <formula>LEN(TRIM(D38))=0</formula>
    </cfRule>
  </conditionalFormatting>
  <conditionalFormatting sqref="F38 I38 L38 O38">
    <cfRule type="expression" dxfId="1700" priority="126">
      <formula>ISNUMBER(F38)=FALSE</formula>
    </cfRule>
  </conditionalFormatting>
  <conditionalFormatting sqref="B38:C38">
    <cfRule type="containsBlanks" dxfId="1699" priority="125">
      <formula>LEN(TRIM(B38))=0</formula>
    </cfRule>
  </conditionalFormatting>
  <conditionalFormatting sqref="T39">
    <cfRule type="containsText" dxfId="1698" priority="124" operator="containsText" text="Error">
      <formula>NOT(ISERROR(SEARCH("Error",T39)))</formula>
    </cfRule>
  </conditionalFormatting>
  <conditionalFormatting sqref="D39:E39">
    <cfRule type="containsBlanks" dxfId="1697" priority="123">
      <formula>LEN(TRIM(D39))=0</formula>
    </cfRule>
  </conditionalFormatting>
  <conditionalFormatting sqref="F39 I39 L39 O39">
    <cfRule type="expression" dxfId="1696" priority="122">
      <formula>ISNUMBER(F39)=FALSE</formula>
    </cfRule>
  </conditionalFormatting>
  <conditionalFormatting sqref="B39:C39">
    <cfRule type="containsBlanks" dxfId="1695" priority="121">
      <formula>LEN(TRIM(B39))=0</formula>
    </cfRule>
  </conditionalFormatting>
  <conditionalFormatting sqref="T40">
    <cfRule type="containsText" dxfId="1694" priority="120" operator="containsText" text="Error">
      <formula>NOT(ISERROR(SEARCH("Error",T40)))</formula>
    </cfRule>
  </conditionalFormatting>
  <conditionalFormatting sqref="D40:E40">
    <cfRule type="containsBlanks" dxfId="1693" priority="119">
      <formula>LEN(TRIM(D40))=0</formula>
    </cfRule>
  </conditionalFormatting>
  <conditionalFormatting sqref="F40 I40 L40 O40">
    <cfRule type="expression" dxfId="1692" priority="118">
      <formula>ISNUMBER(F40)=FALSE</formula>
    </cfRule>
  </conditionalFormatting>
  <conditionalFormatting sqref="B40:C40">
    <cfRule type="containsBlanks" dxfId="1691" priority="117">
      <formula>LEN(TRIM(B40))=0</formula>
    </cfRule>
  </conditionalFormatting>
  <conditionalFormatting sqref="T41">
    <cfRule type="containsText" dxfId="1690" priority="116" operator="containsText" text="Error">
      <formula>NOT(ISERROR(SEARCH("Error",T41)))</formula>
    </cfRule>
  </conditionalFormatting>
  <conditionalFormatting sqref="D41:E41">
    <cfRule type="containsBlanks" dxfId="1689" priority="115">
      <formula>LEN(TRIM(D41))=0</formula>
    </cfRule>
  </conditionalFormatting>
  <conditionalFormatting sqref="F41 I41 L41 O41">
    <cfRule type="expression" dxfId="1688" priority="114">
      <formula>ISNUMBER(F41)=FALSE</formula>
    </cfRule>
  </conditionalFormatting>
  <conditionalFormatting sqref="B41:C41">
    <cfRule type="containsBlanks" dxfId="1687" priority="113">
      <formula>LEN(TRIM(B41))=0</formula>
    </cfRule>
  </conditionalFormatting>
  <conditionalFormatting sqref="T42">
    <cfRule type="containsText" dxfId="1686" priority="112" operator="containsText" text="Error">
      <formula>NOT(ISERROR(SEARCH("Error",T42)))</formula>
    </cfRule>
  </conditionalFormatting>
  <conditionalFormatting sqref="D42:E42">
    <cfRule type="containsBlanks" dxfId="1685" priority="111">
      <formula>LEN(TRIM(D42))=0</formula>
    </cfRule>
  </conditionalFormatting>
  <conditionalFormatting sqref="F42 I42 L42 O42">
    <cfRule type="expression" dxfId="1684" priority="110">
      <formula>ISNUMBER(F42)=FALSE</formula>
    </cfRule>
  </conditionalFormatting>
  <conditionalFormatting sqref="B42:C42">
    <cfRule type="containsBlanks" dxfId="1683" priority="109">
      <formula>LEN(TRIM(B42))=0</formula>
    </cfRule>
  </conditionalFormatting>
  <conditionalFormatting sqref="T43">
    <cfRule type="containsText" dxfId="1682" priority="108" operator="containsText" text="Error">
      <formula>NOT(ISERROR(SEARCH("Error",T43)))</formula>
    </cfRule>
  </conditionalFormatting>
  <conditionalFormatting sqref="D43:E43">
    <cfRule type="containsBlanks" dxfId="1681" priority="107">
      <formula>LEN(TRIM(D43))=0</formula>
    </cfRule>
  </conditionalFormatting>
  <conditionalFormatting sqref="F43 I43 L43 O43">
    <cfRule type="expression" dxfId="1680" priority="106">
      <formula>ISNUMBER(F43)=FALSE</formula>
    </cfRule>
  </conditionalFormatting>
  <conditionalFormatting sqref="B43:C43">
    <cfRule type="containsBlanks" dxfId="1679" priority="105">
      <formula>LEN(TRIM(B43))=0</formula>
    </cfRule>
  </conditionalFormatting>
  <conditionalFormatting sqref="T44">
    <cfRule type="containsText" dxfId="1678" priority="104" operator="containsText" text="Error">
      <formula>NOT(ISERROR(SEARCH("Error",T44)))</formula>
    </cfRule>
  </conditionalFormatting>
  <conditionalFormatting sqref="D44:E44">
    <cfRule type="containsBlanks" dxfId="1677" priority="103">
      <formula>LEN(TRIM(D44))=0</formula>
    </cfRule>
  </conditionalFormatting>
  <conditionalFormatting sqref="F44 I44 L44 O44">
    <cfRule type="expression" dxfId="1676" priority="102">
      <formula>ISNUMBER(F44)=FALSE</formula>
    </cfRule>
  </conditionalFormatting>
  <conditionalFormatting sqref="B44:C44">
    <cfRule type="containsBlanks" dxfId="1675" priority="101">
      <formula>LEN(TRIM(B44))=0</formula>
    </cfRule>
  </conditionalFormatting>
  <conditionalFormatting sqref="T45">
    <cfRule type="containsText" dxfId="1674" priority="100" operator="containsText" text="Error">
      <formula>NOT(ISERROR(SEARCH("Error",T45)))</formula>
    </cfRule>
  </conditionalFormatting>
  <conditionalFormatting sqref="D45:E45">
    <cfRule type="containsBlanks" dxfId="1673" priority="99">
      <formula>LEN(TRIM(D45))=0</formula>
    </cfRule>
  </conditionalFormatting>
  <conditionalFormatting sqref="F45 I45 L45 O45">
    <cfRule type="expression" dxfId="1672" priority="98">
      <formula>ISNUMBER(F45)=FALSE</formula>
    </cfRule>
  </conditionalFormatting>
  <conditionalFormatting sqref="B45:C45">
    <cfRule type="containsBlanks" dxfId="1671" priority="97">
      <formula>LEN(TRIM(B45))=0</formula>
    </cfRule>
  </conditionalFormatting>
  <conditionalFormatting sqref="T46">
    <cfRule type="containsText" dxfId="1670" priority="92" operator="containsText" text="Error">
      <formula>NOT(ISERROR(SEARCH("Error",T46)))</formula>
    </cfRule>
  </conditionalFormatting>
  <conditionalFormatting sqref="D46:E46">
    <cfRule type="containsBlanks" dxfId="1669" priority="91">
      <formula>LEN(TRIM(D46))=0</formula>
    </cfRule>
  </conditionalFormatting>
  <conditionalFormatting sqref="F46 I46 L46 O46">
    <cfRule type="expression" dxfId="1668" priority="90">
      <formula>ISNUMBER(F46)=FALSE</formula>
    </cfRule>
  </conditionalFormatting>
  <conditionalFormatting sqref="B46:C46">
    <cfRule type="containsBlanks" dxfId="1667" priority="89">
      <formula>LEN(TRIM(B46))=0</formula>
    </cfRule>
  </conditionalFormatting>
  <conditionalFormatting sqref="T47">
    <cfRule type="containsText" dxfId="1666" priority="88" operator="containsText" text="Error">
      <formula>NOT(ISERROR(SEARCH("Error",T47)))</formula>
    </cfRule>
  </conditionalFormatting>
  <conditionalFormatting sqref="D47:E47">
    <cfRule type="containsBlanks" dxfId="1665" priority="87">
      <formula>LEN(TRIM(D47))=0</formula>
    </cfRule>
  </conditionalFormatting>
  <conditionalFormatting sqref="F47 I47 L47 O47">
    <cfRule type="expression" dxfId="1664" priority="86">
      <formula>ISNUMBER(F47)=FALSE</formula>
    </cfRule>
  </conditionalFormatting>
  <conditionalFormatting sqref="B47:C47">
    <cfRule type="containsBlanks" dxfId="1663" priority="85">
      <formula>LEN(TRIM(B47))=0</formula>
    </cfRule>
  </conditionalFormatting>
  <conditionalFormatting sqref="T48">
    <cfRule type="containsText" dxfId="1662" priority="84" operator="containsText" text="Error">
      <formula>NOT(ISERROR(SEARCH("Error",T48)))</formula>
    </cfRule>
  </conditionalFormatting>
  <conditionalFormatting sqref="D48:E48">
    <cfRule type="containsBlanks" dxfId="1661" priority="83">
      <formula>LEN(TRIM(D48))=0</formula>
    </cfRule>
  </conditionalFormatting>
  <conditionalFormatting sqref="F48 I48 L48 O48">
    <cfRule type="expression" dxfId="1660" priority="82">
      <formula>ISNUMBER(F48)=FALSE</formula>
    </cfRule>
  </conditionalFormatting>
  <conditionalFormatting sqref="B48:C48">
    <cfRule type="containsBlanks" dxfId="1659" priority="81">
      <formula>LEN(TRIM(B48))=0</formula>
    </cfRule>
  </conditionalFormatting>
  <conditionalFormatting sqref="T49">
    <cfRule type="containsText" dxfId="1658" priority="80" operator="containsText" text="Error">
      <formula>NOT(ISERROR(SEARCH("Error",T49)))</formula>
    </cfRule>
  </conditionalFormatting>
  <conditionalFormatting sqref="D49:E49">
    <cfRule type="containsBlanks" dxfId="1657" priority="79">
      <formula>LEN(TRIM(D49))=0</formula>
    </cfRule>
  </conditionalFormatting>
  <conditionalFormatting sqref="F49 I49 L49 O49">
    <cfRule type="expression" dxfId="1656" priority="78">
      <formula>ISNUMBER(F49)=FALSE</formula>
    </cfRule>
  </conditionalFormatting>
  <conditionalFormatting sqref="B49:C49">
    <cfRule type="containsBlanks" dxfId="1655" priority="77">
      <formula>LEN(TRIM(B49))=0</formula>
    </cfRule>
  </conditionalFormatting>
  <conditionalFormatting sqref="T50">
    <cfRule type="containsText" dxfId="1654" priority="76" operator="containsText" text="Error">
      <formula>NOT(ISERROR(SEARCH("Error",T50)))</formula>
    </cfRule>
  </conditionalFormatting>
  <conditionalFormatting sqref="D50:E50">
    <cfRule type="containsBlanks" dxfId="1653" priority="75">
      <formula>LEN(TRIM(D50))=0</formula>
    </cfRule>
  </conditionalFormatting>
  <conditionalFormatting sqref="F50 I50 L50 O50">
    <cfRule type="expression" dxfId="1652" priority="74">
      <formula>ISNUMBER(F50)=FALSE</formula>
    </cfRule>
  </conditionalFormatting>
  <conditionalFormatting sqref="B50:C50">
    <cfRule type="containsBlanks" dxfId="1651" priority="73">
      <formula>LEN(TRIM(B50))=0</formula>
    </cfRule>
  </conditionalFormatting>
  <conditionalFormatting sqref="T51">
    <cfRule type="containsText" dxfId="1650" priority="72" operator="containsText" text="Error">
      <formula>NOT(ISERROR(SEARCH("Error",T51)))</formula>
    </cfRule>
  </conditionalFormatting>
  <conditionalFormatting sqref="D51:E51">
    <cfRule type="containsBlanks" dxfId="1649" priority="71">
      <formula>LEN(TRIM(D51))=0</formula>
    </cfRule>
  </conditionalFormatting>
  <conditionalFormatting sqref="F51 I51 L51 O51">
    <cfRule type="expression" dxfId="1648" priority="70">
      <formula>ISNUMBER(F51)=FALSE</formula>
    </cfRule>
  </conditionalFormatting>
  <conditionalFormatting sqref="B51:C51">
    <cfRule type="containsBlanks" dxfId="1647" priority="69">
      <formula>LEN(TRIM(B51))=0</formula>
    </cfRule>
  </conditionalFormatting>
  <conditionalFormatting sqref="T52">
    <cfRule type="containsText" dxfId="1646" priority="68" operator="containsText" text="Error">
      <formula>NOT(ISERROR(SEARCH("Error",T52)))</formula>
    </cfRule>
  </conditionalFormatting>
  <conditionalFormatting sqref="D52:E52">
    <cfRule type="containsBlanks" dxfId="1645" priority="67">
      <formula>LEN(TRIM(D52))=0</formula>
    </cfRule>
  </conditionalFormatting>
  <conditionalFormatting sqref="F52 I52 L52 O52">
    <cfRule type="expression" dxfId="1644" priority="66">
      <formula>ISNUMBER(F52)=FALSE</formula>
    </cfRule>
  </conditionalFormatting>
  <conditionalFormatting sqref="B52:C52">
    <cfRule type="containsBlanks" dxfId="1643" priority="65">
      <formula>LEN(TRIM(B52))=0</formula>
    </cfRule>
  </conditionalFormatting>
  <conditionalFormatting sqref="T53">
    <cfRule type="containsText" dxfId="1642" priority="64" operator="containsText" text="Error">
      <formula>NOT(ISERROR(SEARCH("Error",T53)))</formula>
    </cfRule>
  </conditionalFormatting>
  <conditionalFormatting sqref="D53:E53">
    <cfRule type="containsBlanks" dxfId="1641" priority="63">
      <formula>LEN(TRIM(D53))=0</formula>
    </cfRule>
  </conditionalFormatting>
  <conditionalFormatting sqref="F53 I53 L53 O53">
    <cfRule type="expression" dxfId="1640" priority="62">
      <formula>ISNUMBER(F53)=FALSE</formula>
    </cfRule>
  </conditionalFormatting>
  <conditionalFormatting sqref="B53:C53">
    <cfRule type="containsBlanks" dxfId="1639" priority="61">
      <formula>LEN(TRIM(B53))=0</formula>
    </cfRule>
  </conditionalFormatting>
  <conditionalFormatting sqref="T54">
    <cfRule type="containsText" dxfId="1638" priority="60" operator="containsText" text="Error">
      <formula>NOT(ISERROR(SEARCH("Error",T54)))</formula>
    </cfRule>
  </conditionalFormatting>
  <conditionalFormatting sqref="D54:E54">
    <cfRule type="containsBlanks" dxfId="1637" priority="59">
      <formula>LEN(TRIM(D54))=0</formula>
    </cfRule>
  </conditionalFormatting>
  <conditionalFormatting sqref="F54 I54 L54 O54">
    <cfRule type="expression" dxfId="1636" priority="58">
      <formula>ISNUMBER(F54)=FALSE</formula>
    </cfRule>
  </conditionalFormatting>
  <conditionalFormatting sqref="B54:C54">
    <cfRule type="containsBlanks" dxfId="1635" priority="57">
      <formula>LEN(TRIM(B54))=0</formula>
    </cfRule>
  </conditionalFormatting>
  <conditionalFormatting sqref="T55">
    <cfRule type="containsText" dxfId="1634" priority="56" operator="containsText" text="Error">
      <formula>NOT(ISERROR(SEARCH("Error",T55)))</formula>
    </cfRule>
  </conditionalFormatting>
  <conditionalFormatting sqref="D55:E55">
    <cfRule type="containsBlanks" dxfId="1633" priority="55">
      <formula>LEN(TRIM(D55))=0</formula>
    </cfRule>
  </conditionalFormatting>
  <conditionalFormatting sqref="F55 I55 L55 O55">
    <cfRule type="expression" dxfId="1632" priority="54">
      <formula>ISNUMBER(F55)=FALSE</formula>
    </cfRule>
  </conditionalFormatting>
  <conditionalFormatting sqref="B55:C55">
    <cfRule type="containsBlanks" dxfId="1631" priority="53">
      <formula>LEN(TRIM(B55))=0</formula>
    </cfRule>
  </conditionalFormatting>
  <conditionalFormatting sqref="T56">
    <cfRule type="containsText" dxfId="1630" priority="52" operator="containsText" text="Error">
      <formula>NOT(ISERROR(SEARCH("Error",T56)))</formula>
    </cfRule>
  </conditionalFormatting>
  <conditionalFormatting sqref="D56:E56">
    <cfRule type="containsBlanks" dxfId="1629" priority="51">
      <formula>LEN(TRIM(D56))=0</formula>
    </cfRule>
  </conditionalFormatting>
  <conditionalFormatting sqref="F56 I56 L56 O56">
    <cfRule type="expression" dxfId="1628" priority="50">
      <formula>ISNUMBER(F56)=FALSE</formula>
    </cfRule>
  </conditionalFormatting>
  <conditionalFormatting sqref="B56:C56">
    <cfRule type="containsBlanks" dxfId="1627" priority="49">
      <formula>LEN(TRIM(B56))=0</formula>
    </cfRule>
  </conditionalFormatting>
  <conditionalFormatting sqref="T57">
    <cfRule type="containsText" dxfId="1626" priority="48" operator="containsText" text="Error">
      <formula>NOT(ISERROR(SEARCH("Error",T57)))</formula>
    </cfRule>
  </conditionalFormatting>
  <conditionalFormatting sqref="D57:E57">
    <cfRule type="containsBlanks" dxfId="1625" priority="47">
      <formula>LEN(TRIM(D57))=0</formula>
    </cfRule>
  </conditionalFormatting>
  <conditionalFormatting sqref="F57 I57 L57 O57">
    <cfRule type="expression" dxfId="1624" priority="46">
      <formula>ISNUMBER(F57)=FALSE</formula>
    </cfRule>
  </conditionalFormatting>
  <conditionalFormatting sqref="B57:C57">
    <cfRule type="containsBlanks" dxfId="1623" priority="45">
      <formula>LEN(TRIM(B57))=0</formula>
    </cfRule>
  </conditionalFormatting>
  <conditionalFormatting sqref="T58">
    <cfRule type="containsText" dxfId="1622" priority="44" operator="containsText" text="Error">
      <formula>NOT(ISERROR(SEARCH("Error",T58)))</formula>
    </cfRule>
  </conditionalFormatting>
  <conditionalFormatting sqref="D58:E58">
    <cfRule type="containsBlanks" dxfId="1621" priority="43">
      <formula>LEN(TRIM(D58))=0</formula>
    </cfRule>
  </conditionalFormatting>
  <conditionalFormatting sqref="F58 I58 L58 O58">
    <cfRule type="expression" dxfId="1620" priority="42">
      <formula>ISNUMBER(F58)=FALSE</formula>
    </cfRule>
  </conditionalFormatting>
  <conditionalFormatting sqref="B58:C58">
    <cfRule type="containsBlanks" dxfId="1619" priority="41">
      <formula>LEN(TRIM(B58))=0</formula>
    </cfRule>
  </conditionalFormatting>
  <conditionalFormatting sqref="T59">
    <cfRule type="containsText" dxfId="1618" priority="40" operator="containsText" text="Error">
      <formula>NOT(ISERROR(SEARCH("Error",T59)))</formula>
    </cfRule>
  </conditionalFormatting>
  <conditionalFormatting sqref="D59:E59">
    <cfRule type="containsBlanks" dxfId="1617" priority="39">
      <formula>LEN(TRIM(D59))=0</formula>
    </cfRule>
  </conditionalFormatting>
  <conditionalFormatting sqref="F59 I59 L59 O59">
    <cfRule type="expression" dxfId="1616" priority="38">
      <formula>ISNUMBER(F59)=FALSE</formula>
    </cfRule>
  </conditionalFormatting>
  <conditionalFormatting sqref="B59:C59">
    <cfRule type="containsBlanks" dxfId="1615" priority="37">
      <formula>LEN(TRIM(B59))=0</formula>
    </cfRule>
  </conditionalFormatting>
  <conditionalFormatting sqref="T60">
    <cfRule type="containsText" dxfId="1614" priority="36" operator="containsText" text="Error">
      <formula>NOT(ISERROR(SEARCH("Error",T60)))</formula>
    </cfRule>
  </conditionalFormatting>
  <conditionalFormatting sqref="D60:E60">
    <cfRule type="containsBlanks" dxfId="1613" priority="35">
      <formula>LEN(TRIM(D60))=0</formula>
    </cfRule>
  </conditionalFormatting>
  <conditionalFormatting sqref="F60 I60 L60 O60">
    <cfRule type="expression" dxfId="1612" priority="34">
      <formula>ISNUMBER(F60)=FALSE</formula>
    </cfRule>
  </conditionalFormatting>
  <conditionalFormatting sqref="B60:C60">
    <cfRule type="containsBlanks" dxfId="1611" priority="33">
      <formula>LEN(TRIM(B60))=0</formula>
    </cfRule>
  </conditionalFormatting>
  <conditionalFormatting sqref="T61">
    <cfRule type="containsText" dxfId="1610" priority="32" operator="containsText" text="Error">
      <formula>NOT(ISERROR(SEARCH("Error",T61)))</formula>
    </cfRule>
  </conditionalFormatting>
  <conditionalFormatting sqref="D61:E61">
    <cfRule type="containsBlanks" dxfId="1609" priority="31">
      <formula>LEN(TRIM(D61))=0</formula>
    </cfRule>
  </conditionalFormatting>
  <conditionalFormatting sqref="F61 I61 L61 O61">
    <cfRule type="expression" dxfId="1608" priority="30">
      <formula>ISNUMBER(F61)=FALSE</formula>
    </cfRule>
  </conditionalFormatting>
  <conditionalFormatting sqref="B61:C61">
    <cfRule type="containsBlanks" dxfId="1607" priority="29">
      <formula>LEN(TRIM(B61))=0</formula>
    </cfRule>
  </conditionalFormatting>
  <conditionalFormatting sqref="T62">
    <cfRule type="containsText" dxfId="1606" priority="28" operator="containsText" text="Error">
      <formula>NOT(ISERROR(SEARCH("Error",T62)))</formula>
    </cfRule>
  </conditionalFormatting>
  <conditionalFormatting sqref="D62:E62">
    <cfRule type="containsBlanks" dxfId="1605" priority="27">
      <formula>LEN(TRIM(D62))=0</formula>
    </cfRule>
  </conditionalFormatting>
  <conditionalFormatting sqref="F62 I62 L62 O62">
    <cfRule type="expression" dxfId="1604" priority="26">
      <formula>ISNUMBER(F62)=FALSE</formula>
    </cfRule>
  </conditionalFormatting>
  <conditionalFormatting sqref="B62:C62">
    <cfRule type="containsBlanks" dxfId="1603" priority="25">
      <formula>LEN(TRIM(B62))=0</formula>
    </cfRule>
  </conditionalFormatting>
  <conditionalFormatting sqref="T63">
    <cfRule type="containsText" dxfId="1602" priority="24" operator="containsText" text="Error">
      <formula>NOT(ISERROR(SEARCH("Error",T63)))</formula>
    </cfRule>
  </conditionalFormatting>
  <conditionalFormatting sqref="D63:E63">
    <cfRule type="containsBlanks" dxfId="1601" priority="23">
      <formula>LEN(TRIM(D63))=0</formula>
    </cfRule>
  </conditionalFormatting>
  <conditionalFormatting sqref="F63 I63 L63 O63">
    <cfRule type="expression" dxfId="1600" priority="22">
      <formula>ISNUMBER(F63)=FALSE</formula>
    </cfRule>
  </conditionalFormatting>
  <conditionalFormatting sqref="B63:C63">
    <cfRule type="containsBlanks" dxfId="1599" priority="21">
      <formula>LEN(TRIM(B63))=0</formula>
    </cfRule>
  </conditionalFormatting>
  <conditionalFormatting sqref="T64">
    <cfRule type="containsText" dxfId="1598" priority="20" operator="containsText" text="Error">
      <formula>NOT(ISERROR(SEARCH("Error",T64)))</formula>
    </cfRule>
  </conditionalFormatting>
  <conditionalFormatting sqref="D64:E64">
    <cfRule type="containsBlanks" dxfId="1597" priority="19">
      <formula>LEN(TRIM(D64))=0</formula>
    </cfRule>
  </conditionalFormatting>
  <conditionalFormatting sqref="F64 I64 L64 O64">
    <cfRule type="expression" dxfId="1596" priority="18">
      <formula>ISNUMBER(F64)=FALSE</formula>
    </cfRule>
  </conditionalFormatting>
  <conditionalFormatting sqref="B64:C64">
    <cfRule type="containsBlanks" dxfId="1595" priority="17">
      <formula>LEN(TRIM(B64))=0</formula>
    </cfRule>
  </conditionalFormatting>
  <conditionalFormatting sqref="T65">
    <cfRule type="containsText" dxfId="1594" priority="16" operator="containsText" text="Error">
      <formula>NOT(ISERROR(SEARCH("Error",T65)))</formula>
    </cfRule>
  </conditionalFormatting>
  <conditionalFormatting sqref="D65:E65">
    <cfRule type="containsBlanks" dxfId="1593" priority="15">
      <formula>LEN(TRIM(D65))=0</formula>
    </cfRule>
  </conditionalFormatting>
  <conditionalFormatting sqref="F65 I65 L65 O65">
    <cfRule type="expression" dxfId="1592" priority="14">
      <formula>ISNUMBER(F65)=FALSE</formula>
    </cfRule>
  </conditionalFormatting>
  <conditionalFormatting sqref="B65:C65">
    <cfRule type="containsBlanks" dxfId="1591" priority="13">
      <formula>LEN(TRIM(B65))=0</formula>
    </cfRule>
  </conditionalFormatting>
  <conditionalFormatting sqref="T66">
    <cfRule type="containsText" dxfId="1590" priority="12" operator="containsText" text="Error">
      <formula>NOT(ISERROR(SEARCH("Error",T66)))</formula>
    </cfRule>
  </conditionalFormatting>
  <conditionalFormatting sqref="D66:E66">
    <cfRule type="containsBlanks" dxfId="1589" priority="11">
      <formula>LEN(TRIM(D66))=0</formula>
    </cfRule>
  </conditionalFormatting>
  <conditionalFormatting sqref="F66 I66 L66 O66">
    <cfRule type="expression" dxfId="1588" priority="10">
      <formula>ISNUMBER(F66)=FALSE</formula>
    </cfRule>
  </conditionalFormatting>
  <conditionalFormatting sqref="B66:C66">
    <cfRule type="containsBlanks" dxfId="1587" priority="9">
      <formula>LEN(TRIM(B66))=0</formula>
    </cfRule>
  </conditionalFormatting>
  <dataValidations count="4">
    <dataValidation allowBlank="1" showInputMessage="1" errorTitle="Warning: Max Ceilings exceeded" error="Please be aware that this exceed the &quot;Ceilings&quot; for the maximum amounts for staff cost by country" sqref="J13:J66 M13:M66 G13:G66 P13:P66"/>
    <dataValidation type="custom" allowBlank="1" showInputMessage="1" showErrorMessage="1" error="Format error (1 decimal only)" prompt="Please encode number of days - 1 decimal only" sqref="I13:I66 F13:F66 L13:L66 O13:O66">
      <formula1>F13=INT(F13*10)/10</formula1>
    </dataValidation>
    <dataValidation type="list" allowBlank="1" showInputMessage="1" showErrorMessage="1" error="Click arrow to select Work Package" prompt="Click arrow to select Work Package" sqref="B13:B66">
      <formula1>WorkPackage</formula1>
    </dataValidation>
    <dataValidation type="list" allowBlank="1" showInputMessage="1" showErrorMessage="1" error="Click arrow to select Partner N°" prompt="Click arrow to select Partner N°" sqref="C13:C66">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149"/>
  <sheetViews>
    <sheetView showGridLines="0" zoomScale="70" zoomScaleNormal="70" zoomScaleSheetLayoutView="55" workbookViewId="0">
      <pane ySplit="13" topLeftCell="A122" activePane="bottomLeft" state="frozen"/>
      <selection pane="bottomLeft" activeCell="B144" sqref="B144"/>
    </sheetView>
  </sheetViews>
  <sheetFormatPr baseColWidth="10"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7.140625" style="1" customWidth="1"/>
    <col min="12" max="12" width="40.7109375" style="1" customWidth="1"/>
    <col min="13" max="16" width="22.28515625" style="1" customWidth="1"/>
    <col min="17" max="17" width="22" style="1" customWidth="1"/>
    <col min="18" max="18" width="11.7109375" style="1" bestFit="1" customWidth="1"/>
    <col min="19" max="19" width="1.7109375" style="1" customWidth="1"/>
    <col min="20" max="16384" width="9.140625" style="1"/>
  </cols>
  <sheetData>
    <row r="1" spans="2:18" ht="8.1" customHeight="1" x14ac:dyDescent="0.25"/>
    <row r="2" spans="2:18" s="24" customFormat="1" ht="39.950000000000003" customHeight="1" x14ac:dyDescent="0.25">
      <c r="B2" s="161" t="s">
        <v>183</v>
      </c>
      <c r="C2" s="161"/>
      <c r="D2" s="161"/>
      <c r="E2" s="161"/>
      <c r="F2" s="161"/>
      <c r="G2" s="161"/>
      <c r="H2" s="161"/>
      <c r="I2" s="161"/>
      <c r="J2" s="161"/>
      <c r="K2" s="161"/>
      <c r="L2" s="161"/>
      <c r="M2" s="161"/>
      <c r="N2" s="161"/>
      <c r="O2" s="161"/>
      <c r="P2" s="161"/>
      <c r="Q2" s="161"/>
      <c r="R2" s="161"/>
    </row>
    <row r="3" spans="2:18" s="24" customFormat="1" ht="8.1" customHeight="1" x14ac:dyDescent="0.25">
      <c r="B3" s="151"/>
      <c r="C3" s="152"/>
      <c r="D3" s="152"/>
      <c r="E3" s="152"/>
      <c r="F3" s="152"/>
      <c r="G3" s="152"/>
      <c r="H3" s="152"/>
      <c r="I3" s="152"/>
      <c r="J3" s="152"/>
      <c r="K3" s="152"/>
      <c r="L3" s="152"/>
      <c r="M3" s="152"/>
      <c r="N3" s="152"/>
      <c r="O3" s="152"/>
      <c r="P3" s="152"/>
      <c r="Q3" s="152"/>
      <c r="R3" s="153"/>
    </row>
    <row r="4" spans="2:18" s="24" customFormat="1" ht="20.100000000000001" customHeight="1" x14ac:dyDescent="0.25">
      <c r="B4" s="154" t="s">
        <v>304</v>
      </c>
      <c r="C4" s="155"/>
      <c r="D4" s="55">
        <f>SUMIF(G:G,"Student",O:O)</f>
        <v>67685</v>
      </c>
      <c r="E4" s="181">
        <f>D4+D5</f>
        <v>325880</v>
      </c>
      <c r="F4" s="166">
        <f>SUMIFS(H:H,G:G,"Student",R:R,"&lt;&gt;Error")</f>
        <v>107</v>
      </c>
      <c r="G4" s="53"/>
      <c r="L4" s="158" t="s">
        <v>348</v>
      </c>
      <c r="M4" s="159"/>
      <c r="N4" s="160"/>
      <c r="O4" s="103"/>
      <c r="P4" s="103"/>
      <c r="Q4" s="103"/>
      <c r="R4" s="84"/>
    </row>
    <row r="5" spans="2:18" s="24" customFormat="1" ht="20.100000000000001" customHeight="1" x14ac:dyDescent="0.25">
      <c r="B5" s="156" t="s">
        <v>305</v>
      </c>
      <c r="C5" s="157"/>
      <c r="D5" s="56">
        <f>SUMIF(G:G,"Student",P:P)</f>
        <v>258195</v>
      </c>
      <c r="E5" s="182"/>
      <c r="F5" s="167"/>
      <c r="G5" s="53"/>
      <c r="H5" s="54"/>
      <c r="I5" s="54"/>
      <c r="J5" s="54"/>
      <c r="L5" s="168" t="s">
        <v>356</v>
      </c>
      <c r="M5" s="169"/>
      <c r="N5" s="170"/>
      <c r="O5" s="54"/>
      <c r="P5" s="54"/>
      <c r="Q5" s="54"/>
      <c r="R5" s="84"/>
    </row>
    <row r="6" spans="2:18" s="24" customFormat="1" ht="20.100000000000001" customHeight="1" x14ac:dyDescent="0.25">
      <c r="B6" s="154" t="s">
        <v>306</v>
      </c>
      <c r="C6" s="155"/>
      <c r="D6" s="55">
        <f>SUMIF(G:G,"Staff",O:O)</f>
        <v>50885</v>
      </c>
      <c r="E6" s="179">
        <f>D6+D7</f>
        <v>99725</v>
      </c>
      <c r="F6" s="164">
        <f>SUMIFS(H:H,G:G,"Staff",R:R,"&lt;&gt;Error")</f>
        <v>61</v>
      </c>
      <c r="G6" s="53"/>
      <c r="L6" s="171"/>
      <c r="M6" s="172"/>
      <c r="N6" s="173"/>
      <c r="R6" s="84"/>
    </row>
    <row r="7" spans="2:18" s="24" customFormat="1" ht="20.100000000000001" customHeight="1" x14ac:dyDescent="0.25">
      <c r="B7" s="156" t="s">
        <v>307</v>
      </c>
      <c r="C7" s="157"/>
      <c r="D7" s="56">
        <f>SUMIF(G:G,"Staff",P:P)</f>
        <v>48840</v>
      </c>
      <c r="E7" s="180"/>
      <c r="F7" s="165"/>
      <c r="G7" s="53"/>
      <c r="L7" s="171"/>
      <c r="M7" s="172"/>
      <c r="N7" s="173"/>
      <c r="R7" s="84"/>
    </row>
    <row r="8" spans="2:18" s="24" customFormat="1" ht="20.100000000000001" customHeight="1" x14ac:dyDescent="0.25">
      <c r="B8" s="154" t="s">
        <v>308</v>
      </c>
      <c r="C8" s="155"/>
      <c r="D8" s="55">
        <f>SUM(O:O)</f>
        <v>118570</v>
      </c>
      <c r="E8" s="177">
        <f>D8+D9</f>
        <v>425605</v>
      </c>
      <c r="F8" s="162">
        <f>F4+F6</f>
        <v>168</v>
      </c>
      <c r="G8" s="53"/>
      <c r="L8" s="171"/>
      <c r="M8" s="172"/>
      <c r="N8" s="173"/>
      <c r="R8" s="84"/>
    </row>
    <row r="9" spans="2:18" s="24" customFormat="1" ht="20.100000000000001" customHeight="1" x14ac:dyDescent="0.25">
      <c r="B9" s="156" t="s">
        <v>309</v>
      </c>
      <c r="C9" s="157"/>
      <c r="D9" s="56">
        <f>SUM(P:P)</f>
        <v>307035</v>
      </c>
      <c r="E9" s="178"/>
      <c r="F9" s="163"/>
      <c r="G9" s="53"/>
      <c r="L9" s="171"/>
      <c r="M9" s="172"/>
      <c r="N9" s="173"/>
      <c r="R9" s="84"/>
    </row>
    <row r="10" spans="2:18" s="24" customFormat="1" x14ac:dyDescent="0.25">
      <c r="B10" s="156" t="s">
        <v>347</v>
      </c>
      <c r="C10" s="157"/>
      <c r="D10" s="56">
        <f>SUM(N:N)</f>
        <v>0</v>
      </c>
      <c r="L10" s="171"/>
      <c r="M10" s="172"/>
      <c r="N10" s="173"/>
      <c r="R10" s="107"/>
    </row>
    <row r="11" spans="2:18" s="49" customFormat="1" ht="33.75" customHeight="1" x14ac:dyDescent="0.25">
      <c r="B11" s="98"/>
      <c r="C11" s="97"/>
      <c r="D11" s="97"/>
      <c r="E11" s="97"/>
      <c r="F11" s="97"/>
      <c r="G11" s="97"/>
      <c r="H11" s="97"/>
      <c r="I11" s="97"/>
      <c r="J11" s="97"/>
      <c r="K11" s="97"/>
      <c r="L11" s="174"/>
      <c r="M11" s="175"/>
      <c r="N11" s="176"/>
      <c r="O11" s="97"/>
      <c r="P11" s="97"/>
      <c r="Q11" s="97"/>
      <c r="R11" s="99"/>
    </row>
    <row r="12" spans="2:18" ht="75" customHeight="1" x14ac:dyDescent="0.25">
      <c r="B12" s="101" t="s">
        <v>162</v>
      </c>
      <c r="C12" s="101" t="s">
        <v>147</v>
      </c>
      <c r="D12" s="101" t="s">
        <v>216</v>
      </c>
      <c r="E12" s="101" t="s">
        <v>217</v>
      </c>
      <c r="F12" s="96" t="s">
        <v>223</v>
      </c>
      <c r="G12" s="101" t="s">
        <v>214</v>
      </c>
      <c r="H12" s="101" t="s">
        <v>213</v>
      </c>
      <c r="I12" s="100" t="s">
        <v>224</v>
      </c>
      <c r="J12" s="96" t="s">
        <v>212</v>
      </c>
      <c r="K12" s="101" t="s">
        <v>209</v>
      </c>
      <c r="L12" s="31" t="s">
        <v>357</v>
      </c>
      <c r="M12" s="101" t="s">
        <v>346</v>
      </c>
      <c r="N12" s="101" t="s">
        <v>347</v>
      </c>
      <c r="O12" s="31" t="s">
        <v>345</v>
      </c>
      <c r="P12" s="101" t="s">
        <v>175</v>
      </c>
      <c r="Q12" s="101" t="s">
        <v>163</v>
      </c>
      <c r="R12" s="101" t="s">
        <v>218</v>
      </c>
    </row>
    <row r="13" spans="2:18" s="38" customFormat="1" hidden="1" x14ac:dyDescent="0.2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 t="shared" ref="N13:N46" si="2">IF(AND(M13&gt;0,L13&lt;&gt;""),IF(M13&gt;(ROUND( (ROUND(ROUND(H13,0)*(VLOOKUP(J13,TravelCosts,2,FALSE)),2))/0.65,2)),ROUND(M13*0.8,2),"covered by unit cost"),0)</f>
        <v>0</v>
      </c>
      <c r="O13" s="41">
        <f t="shared" ref="O13:O46" si="3">IF(OR(AND(L13&lt;&gt;"",M13&gt;0,ISNUMBER(N13)),R13="Error"),0,ROUND(ROUND(H13,0)*(VLOOKUP(J13,TravelCosts,2,FALSE)),2))</f>
        <v>0</v>
      </c>
      <c r="P13" s="41">
        <f t="shared" ref="P13:P46" si="4">IF(R13="Error",0,IF(AND(G13="Staff",K13&gt;0,K13&lt;15),(120*K13)*H13,IF(AND(G13="Staff",K13&gt;14,K13&lt;61),(1680+((K13-14)*70))*H13,IF(AND(G13="Staff",K13&gt;60,K13&lt;91),(4900+((K13-60)*50))*H13,IF(AND(G13="Student",K13&gt;0,K13&lt;15),(55*K13)*H13,IF(AND(G13="Student",K13&gt;14,K13&lt;91),(770+((K13-14)*40))*H13,0))))))</f>
        <v>0</v>
      </c>
      <c r="Q13" s="42">
        <f t="shared" ref="Q13:Q46" si="5">IFERROR(N13+O13+P13,O13+P13)</f>
        <v>0</v>
      </c>
      <c r="R13" s="104" t="str">
        <f t="shared" ref="R13:R46"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25">
      <c r="B14" s="18" t="s">
        <v>172</v>
      </c>
      <c r="C14" s="23" t="s">
        <v>11</v>
      </c>
      <c r="D14" s="46" t="str">
        <f t="shared" si="0"/>
        <v>UNIVERSIDAD SAN FRANCISCO DE QUITO</v>
      </c>
      <c r="E14" s="46" t="str">
        <f t="shared" si="1"/>
        <v>Ecuador</v>
      </c>
      <c r="F14" s="22" t="s">
        <v>381</v>
      </c>
      <c r="G14" s="85" t="s">
        <v>208</v>
      </c>
      <c r="H14" s="86">
        <v>1</v>
      </c>
      <c r="I14" s="22" t="s">
        <v>382</v>
      </c>
      <c r="J14" s="18" t="s">
        <v>150</v>
      </c>
      <c r="K14" s="86">
        <v>5</v>
      </c>
      <c r="L14" s="105"/>
      <c r="M14" s="106"/>
      <c r="N14" s="41">
        <f t="shared" si="2"/>
        <v>0</v>
      </c>
      <c r="O14" s="41">
        <f t="shared" si="3"/>
        <v>275</v>
      </c>
      <c r="P14" s="41">
        <f t="shared" si="4"/>
        <v>600</v>
      </c>
      <c r="Q14" s="42">
        <f t="shared" si="5"/>
        <v>875</v>
      </c>
      <c r="R14" s="104" t="str">
        <f t="shared" si="6"/>
        <v/>
      </c>
    </row>
    <row r="15" spans="2:18" s="38" customFormat="1" x14ac:dyDescent="0.25">
      <c r="B15" s="18" t="s">
        <v>172</v>
      </c>
      <c r="C15" s="23" t="s">
        <v>11</v>
      </c>
      <c r="D15" s="46" t="str">
        <f t="shared" ref="D15:D78" si="7">IFERROR(IF(VLOOKUP(C15,PartnerN°Ref,2,FALSE)=0,"",VLOOKUP(C15,PartnerN°Ref,2,FALSE)),"")</f>
        <v>UNIVERSIDAD SAN FRANCISCO DE QUITO</v>
      </c>
      <c r="E15" s="46" t="str">
        <f t="shared" ref="E15:E78" si="8">IFERROR(IF(OR(VLOOKUP(C15,PartnerN°Ref,4,FALSE)="Country not found",VLOOKUP(C15,PartnerN°Ref,3,FALSE)=0),"",VLOOKUP(C15,PartnerN°Ref,3,FALSE)),"")</f>
        <v>Ecuador</v>
      </c>
      <c r="F15" s="22" t="s">
        <v>381</v>
      </c>
      <c r="G15" s="85" t="s">
        <v>208</v>
      </c>
      <c r="H15" s="86">
        <v>1</v>
      </c>
      <c r="I15" s="22" t="s">
        <v>383</v>
      </c>
      <c r="J15" s="18" t="s">
        <v>150</v>
      </c>
      <c r="K15" s="86">
        <v>5</v>
      </c>
      <c r="L15" s="105"/>
      <c r="M15" s="106"/>
      <c r="N15" s="41">
        <f t="shared" si="2"/>
        <v>0</v>
      </c>
      <c r="O15" s="41">
        <f t="shared" si="3"/>
        <v>275</v>
      </c>
      <c r="P15" s="41">
        <f t="shared" si="4"/>
        <v>600</v>
      </c>
      <c r="Q15" s="42">
        <f t="shared" si="5"/>
        <v>875</v>
      </c>
      <c r="R15" s="104" t="str">
        <f t="shared" si="6"/>
        <v/>
      </c>
    </row>
    <row r="16" spans="2:18" s="38" customFormat="1" x14ac:dyDescent="0.25">
      <c r="B16" s="18" t="s">
        <v>172</v>
      </c>
      <c r="C16" s="23" t="s">
        <v>11</v>
      </c>
      <c r="D16" s="46" t="str">
        <f t="shared" si="7"/>
        <v>UNIVERSIDAD SAN FRANCISCO DE QUITO</v>
      </c>
      <c r="E16" s="46" t="str">
        <f t="shared" si="8"/>
        <v>Ecuador</v>
      </c>
      <c r="F16" s="22" t="s">
        <v>381</v>
      </c>
      <c r="G16" s="85" t="s">
        <v>208</v>
      </c>
      <c r="H16" s="86">
        <v>1</v>
      </c>
      <c r="I16" s="22" t="s">
        <v>384</v>
      </c>
      <c r="J16" s="18" t="s">
        <v>150</v>
      </c>
      <c r="K16" s="86">
        <v>5</v>
      </c>
      <c r="L16" s="105"/>
      <c r="M16" s="106"/>
      <c r="N16" s="41">
        <f t="shared" si="2"/>
        <v>0</v>
      </c>
      <c r="O16" s="41">
        <f t="shared" si="3"/>
        <v>275</v>
      </c>
      <c r="P16" s="41">
        <f t="shared" si="4"/>
        <v>600</v>
      </c>
      <c r="Q16" s="42">
        <f t="shared" si="5"/>
        <v>875</v>
      </c>
      <c r="R16" s="104" t="str">
        <f t="shared" si="6"/>
        <v/>
      </c>
    </row>
    <row r="17" spans="2:18" s="38" customFormat="1" x14ac:dyDescent="0.25">
      <c r="B17" s="18" t="s">
        <v>172</v>
      </c>
      <c r="C17" s="23" t="s">
        <v>11</v>
      </c>
      <c r="D17" s="46" t="str">
        <f t="shared" si="7"/>
        <v>UNIVERSIDAD SAN FRANCISCO DE QUITO</v>
      </c>
      <c r="E17" s="46" t="str">
        <f t="shared" si="8"/>
        <v>Ecuador</v>
      </c>
      <c r="F17" s="22" t="s">
        <v>381</v>
      </c>
      <c r="G17" s="85" t="s">
        <v>208</v>
      </c>
      <c r="H17" s="86">
        <v>1</v>
      </c>
      <c r="I17" s="22" t="s">
        <v>385</v>
      </c>
      <c r="J17" s="18" t="s">
        <v>333</v>
      </c>
      <c r="K17" s="86">
        <v>3</v>
      </c>
      <c r="L17" s="105"/>
      <c r="M17" s="106"/>
      <c r="N17" s="41">
        <f t="shared" si="2"/>
        <v>0</v>
      </c>
      <c r="O17" s="41">
        <f t="shared" si="3"/>
        <v>20</v>
      </c>
      <c r="P17" s="41">
        <f t="shared" si="4"/>
        <v>360</v>
      </c>
      <c r="Q17" s="42">
        <f t="shared" si="5"/>
        <v>380</v>
      </c>
      <c r="R17" s="104" t="str">
        <f t="shared" si="6"/>
        <v/>
      </c>
    </row>
    <row r="18" spans="2:18" s="38" customFormat="1" x14ac:dyDescent="0.25">
      <c r="B18" s="18" t="s">
        <v>172</v>
      </c>
      <c r="C18" s="23" t="s">
        <v>9</v>
      </c>
      <c r="D18" s="46" t="str">
        <f t="shared" si="7"/>
        <v>Universidad Industrial de Santander</v>
      </c>
      <c r="E18" s="46" t="str">
        <f t="shared" si="8"/>
        <v>Colombia</v>
      </c>
      <c r="F18" s="22" t="s">
        <v>384</v>
      </c>
      <c r="G18" s="85" t="s">
        <v>210</v>
      </c>
      <c r="H18" s="86">
        <v>1</v>
      </c>
      <c r="I18" s="22" t="s">
        <v>386</v>
      </c>
      <c r="J18" s="18" t="s">
        <v>152</v>
      </c>
      <c r="K18" s="86">
        <v>90</v>
      </c>
      <c r="L18" s="105"/>
      <c r="M18" s="106"/>
      <c r="N18" s="41">
        <f t="shared" si="2"/>
        <v>0</v>
      </c>
      <c r="O18" s="41">
        <f t="shared" si="3"/>
        <v>1500</v>
      </c>
      <c r="P18" s="41">
        <f t="shared" si="4"/>
        <v>3810</v>
      </c>
      <c r="Q18" s="42">
        <f t="shared" si="5"/>
        <v>5310</v>
      </c>
      <c r="R18" s="104" t="str">
        <f t="shared" si="6"/>
        <v/>
      </c>
    </row>
    <row r="19" spans="2:18" s="38" customFormat="1" x14ac:dyDescent="0.25">
      <c r="B19" s="18" t="s">
        <v>172</v>
      </c>
      <c r="C19" s="23" t="s">
        <v>9</v>
      </c>
      <c r="D19" s="46" t="str">
        <f t="shared" si="7"/>
        <v>Universidad Industrial de Santander</v>
      </c>
      <c r="E19" s="46" t="str">
        <f t="shared" si="8"/>
        <v>Colombia</v>
      </c>
      <c r="F19" s="22" t="s">
        <v>384</v>
      </c>
      <c r="G19" s="85" t="s">
        <v>210</v>
      </c>
      <c r="H19" s="86">
        <v>1</v>
      </c>
      <c r="I19" s="22" t="s">
        <v>391</v>
      </c>
      <c r="J19" s="18" t="s">
        <v>152</v>
      </c>
      <c r="K19" s="86">
        <v>90</v>
      </c>
      <c r="L19" s="105"/>
      <c r="M19" s="106"/>
      <c r="N19" s="41">
        <f t="shared" si="2"/>
        <v>0</v>
      </c>
      <c r="O19" s="41">
        <f t="shared" si="3"/>
        <v>1500</v>
      </c>
      <c r="P19" s="41">
        <f t="shared" si="4"/>
        <v>3810</v>
      </c>
      <c r="Q19" s="42">
        <f t="shared" si="5"/>
        <v>5310</v>
      </c>
      <c r="R19" s="104" t="str">
        <f t="shared" si="6"/>
        <v/>
      </c>
    </row>
    <row r="20" spans="2:18" s="38" customFormat="1" x14ac:dyDescent="0.25">
      <c r="B20" s="18" t="s">
        <v>172</v>
      </c>
      <c r="C20" s="23" t="s">
        <v>9</v>
      </c>
      <c r="D20" s="46" t="str">
        <f t="shared" si="7"/>
        <v>Universidad Industrial de Santander</v>
      </c>
      <c r="E20" s="46" t="str">
        <f t="shared" si="8"/>
        <v>Colombia</v>
      </c>
      <c r="F20" s="22" t="s">
        <v>384</v>
      </c>
      <c r="G20" s="85" t="s">
        <v>210</v>
      </c>
      <c r="H20" s="86">
        <v>1</v>
      </c>
      <c r="I20" s="22" t="s">
        <v>386</v>
      </c>
      <c r="J20" s="18" t="s">
        <v>152</v>
      </c>
      <c r="K20" s="86">
        <v>90</v>
      </c>
      <c r="L20" s="105"/>
      <c r="M20" s="106"/>
      <c r="N20" s="41">
        <f t="shared" ref="N20:N21" si="9">IF(AND(M20&gt;0,L20&lt;&gt;""),IF(M20&gt;(ROUND( (ROUND(ROUND(H20,0)*(VLOOKUP(J20,TravelCosts,2,FALSE)),2))/0.65,2)),ROUND(M20*0.8,2),"covered by unit cost"),0)</f>
        <v>0</v>
      </c>
      <c r="O20" s="41">
        <f t="shared" ref="O20:O21" si="10">IF(OR(AND(L20&lt;&gt;"",M20&gt;0,ISNUMBER(N20)),R20="Error"),0,ROUND(ROUND(H20,0)*(VLOOKUP(J20,TravelCosts,2,FALSE)),2))</f>
        <v>1500</v>
      </c>
      <c r="P20" s="41">
        <f t="shared" ref="P20:P21" si="11">IF(R20="Error",0,IF(AND(G20="Staff",K20&gt;0,K20&lt;15),(120*K20)*H20,IF(AND(G20="Staff",K20&gt;14,K20&lt;61),(1680+((K20-14)*70))*H20,IF(AND(G20="Staff",K20&gt;60,K20&lt;91),(4900+((K20-60)*50))*H20,IF(AND(G20="Student",K20&gt;0,K20&lt;15),(55*K20)*H20,IF(AND(G20="Student",K20&gt;14,K20&lt;91),(770+((K20-14)*40))*H20,0))))))</f>
        <v>3810</v>
      </c>
      <c r="Q20" s="42">
        <f t="shared" ref="Q20:Q21" si="12">IFERROR(N20+O20+P20,O20+P20)</f>
        <v>5310</v>
      </c>
      <c r="R20" s="104" t="str">
        <f t="shared" ref="R20:R21" si="13">IF(OR(COUNTIF(WorkPackage,B20)=0,COUNTIF(PartnerN°,C20)=0,D20="",COUNTIF(CountryALL,E20)=0,F20="",COUNTIF(Category2,G20)=0,ISNUMBER(H20)=FALSE,H20&lt;=0,I20="",COUNTIF(TravelBands,J20)=0,ISNUMBER(K20)=FALSE,OR(K20&lt;0,K20&gt;90),IF(ISNUMBER(H20)=TRUE,H20=INT(H20*1)/1=FALSE),IF(ISNUMBER(K20)=TRUE,K20=INT(K20*1)/1=FALSE),AND(L20&lt;&gt;"",M20=0),AND(L20="",M20&gt;0),ISNUMBER(N20)=FALSE ),"Error","")</f>
        <v/>
      </c>
    </row>
    <row r="21" spans="2:18" s="38" customFormat="1" x14ac:dyDescent="0.25">
      <c r="B21" s="18" t="s">
        <v>172</v>
      </c>
      <c r="C21" s="23" t="s">
        <v>9</v>
      </c>
      <c r="D21" s="46" t="str">
        <f t="shared" si="7"/>
        <v>Universidad Industrial de Santander</v>
      </c>
      <c r="E21" s="46" t="str">
        <f t="shared" si="8"/>
        <v>Colombia</v>
      </c>
      <c r="F21" s="22" t="s">
        <v>384</v>
      </c>
      <c r="G21" s="85" t="s">
        <v>210</v>
      </c>
      <c r="H21" s="86">
        <v>1</v>
      </c>
      <c r="I21" s="22" t="s">
        <v>393</v>
      </c>
      <c r="J21" s="18" t="s">
        <v>152</v>
      </c>
      <c r="K21" s="86">
        <v>90</v>
      </c>
      <c r="L21" s="105"/>
      <c r="M21" s="106"/>
      <c r="N21" s="41">
        <f t="shared" si="9"/>
        <v>0</v>
      </c>
      <c r="O21" s="41">
        <f t="shared" si="10"/>
        <v>1500</v>
      </c>
      <c r="P21" s="41">
        <f t="shared" si="11"/>
        <v>3810</v>
      </c>
      <c r="Q21" s="42">
        <f t="shared" si="12"/>
        <v>5310</v>
      </c>
      <c r="R21" s="104" t="str">
        <f t="shared" si="13"/>
        <v/>
      </c>
    </row>
    <row r="22" spans="2:18" s="38" customFormat="1" x14ac:dyDescent="0.25">
      <c r="B22" s="18" t="s">
        <v>172</v>
      </c>
      <c r="C22" s="23" t="s">
        <v>10</v>
      </c>
      <c r="D22" s="46" t="str">
        <f t="shared" si="7"/>
        <v>UNIVERSIDAD ANTONIO NARINO</v>
      </c>
      <c r="E22" s="46" t="str">
        <f t="shared" si="8"/>
        <v>Colombia</v>
      </c>
      <c r="F22" s="22" t="s">
        <v>387</v>
      </c>
      <c r="G22" s="85" t="s">
        <v>210</v>
      </c>
      <c r="H22" s="86">
        <v>1</v>
      </c>
      <c r="I22" s="22" t="s">
        <v>388</v>
      </c>
      <c r="J22" s="18" t="s">
        <v>152</v>
      </c>
      <c r="K22" s="86">
        <v>90</v>
      </c>
      <c r="L22" s="105"/>
      <c r="M22" s="106"/>
      <c r="N22" s="41">
        <f t="shared" si="2"/>
        <v>0</v>
      </c>
      <c r="O22" s="41">
        <f t="shared" si="3"/>
        <v>1500</v>
      </c>
      <c r="P22" s="41">
        <f t="shared" si="4"/>
        <v>3810</v>
      </c>
      <c r="Q22" s="42">
        <f t="shared" si="5"/>
        <v>5310</v>
      </c>
      <c r="R22" s="104" t="str">
        <f t="shared" si="6"/>
        <v/>
      </c>
    </row>
    <row r="23" spans="2:18" s="38" customFormat="1" x14ac:dyDescent="0.25">
      <c r="B23" s="18" t="s">
        <v>172</v>
      </c>
      <c r="C23" s="23" t="s">
        <v>10</v>
      </c>
      <c r="D23" s="46" t="str">
        <f t="shared" si="7"/>
        <v>UNIVERSIDAD ANTONIO NARINO</v>
      </c>
      <c r="E23" s="46" t="str">
        <f t="shared" si="8"/>
        <v>Colombia</v>
      </c>
      <c r="F23" s="22" t="s">
        <v>387</v>
      </c>
      <c r="G23" s="85" t="s">
        <v>210</v>
      </c>
      <c r="H23" s="86">
        <v>1</v>
      </c>
      <c r="I23" s="22" t="s">
        <v>389</v>
      </c>
      <c r="J23" s="18" t="s">
        <v>152</v>
      </c>
      <c r="K23" s="86">
        <v>90</v>
      </c>
      <c r="L23" s="105"/>
      <c r="M23" s="106"/>
      <c r="N23" s="41">
        <f t="shared" si="2"/>
        <v>0</v>
      </c>
      <c r="O23" s="41">
        <f t="shared" si="3"/>
        <v>1500</v>
      </c>
      <c r="P23" s="41">
        <f t="shared" si="4"/>
        <v>3810</v>
      </c>
      <c r="Q23" s="42">
        <f t="shared" si="5"/>
        <v>5310</v>
      </c>
      <c r="R23" s="104" t="str">
        <f t="shared" si="6"/>
        <v/>
      </c>
    </row>
    <row r="24" spans="2:18" s="38" customFormat="1" x14ac:dyDescent="0.25">
      <c r="B24" s="18" t="s">
        <v>172</v>
      </c>
      <c r="C24" s="23" t="s">
        <v>10</v>
      </c>
      <c r="D24" s="46" t="str">
        <f t="shared" si="7"/>
        <v>UNIVERSIDAD ANTONIO NARINO</v>
      </c>
      <c r="E24" s="46" t="str">
        <f t="shared" si="8"/>
        <v>Colombia</v>
      </c>
      <c r="F24" s="22" t="s">
        <v>387</v>
      </c>
      <c r="G24" s="85" t="s">
        <v>210</v>
      </c>
      <c r="H24" s="86">
        <v>1</v>
      </c>
      <c r="I24" s="22" t="s">
        <v>386</v>
      </c>
      <c r="J24" s="18" t="s">
        <v>152</v>
      </c>
      <c r="K24" s="86">
        <v>90</v>
      </c>
      <c r="L24" s="105"/>
      <c r="M24" s="106"/>
      <c r="N24" s="41">
        <f t="shared" ref="N24:N25" si="14">IF(AND(M24&gt;0,L24&lt;&gt;""),IF(M24&gt;(ROUND( (ROUND(ROUND(H24,0)*(VLOOKUP(J24,TravelCosts,2,FALSE)),2))/0.65,2)),ROUND(M24*0.8,2),"covered by unit cost"),0)</f>
        <v>0</v>
      </c>
      <c r="O24" s="41">
        <f t="shared" ref="O24:O25" si="15">IF(OR(AND(L24&lt;&gt;"",M24&gt;0,ISNUMBER(N24)),R24="Error"),0,ROUND(ROUND(H24,0)*(VLOOKUP(J24,TravelCosts,2,FALSE)),2))</f>
        <v>1500</v>
      </c>
      <c r="P24" s="41">
        <f t="shared" ref="P24:P25" si="16">IF(R24="Error",0,IF(AND(G24="Staff",K24&gt;0,K24&lt;15),(120*K24)*H24,IF(AND(G24="Staff",K24&gt;14,K24&lt;61),(1680+((K24-14)*70))*H24,IF(AND(G24="Staff",K24&gt;60,K24&lt;91),(4900+((K24-60)*50))*H24,IF(AND(G24="Student",K24&gt;0,K24&lt;15),(55*K24)*H24,IF(AND(G24="Student",K24&gt;14,K24&lt;91),(770+((K24-14)*40))*H24,0))))))</f>
        <v>3810</v>
      </c>
      <c r="Q24" s="42">
        <f t="shared" ref="Q24:Q25" si="17">IFERROR(N24+O24+P24,O24+P24)</f>
        <v>5310</v>
      </c>
      <c r="R24" s="104" t="str">
        <f t="shared" ref="R24:R25" si="18">IF(OR(COUNTIF(WorkPackage,B24)=0,COUNTIF(PartnerN°,C24)=0,D24="",COUNTIF(CountryALL,E24)=0,F24="",COUNTIF(Category2,G24)=0,ISNUMBER(H24)=FALSE,H24&lt;=0,I24="",COUNTIF(TravelBands,J24)=0,ISNUMBER(K24)=FALSE,OR(K24&lt;0,K24&gt;90),IF(ISNUMBER(H24)=TRUE,H24=INT(H24*1)/1=FALSE),IF(ISNUMBER(K24)=TRUE,K24=INT(K24*1)/1=FALSE),AND(L24&lt;&gt;"",M24=0),AND(L24="",M24&gt;0),ISNUMBER(N24)=FALSE ),"Error","")</f>
        <v/>
      </c>
    </row>
    <row r="25" spans="2:18" s="38" customFormat="1" x14ac:dyDescent="0.25">
      <c r="B25" s="18" t="s">
        <v>172</v>
      </c>
      <c r="C25" s="23" t="s">
        <v>10</v>
      </c>
      <c r="D25" s="46" t="str">
        <f t="shared" si="7"/>
        <v>UNIVERSIDAD ANTONIO NARINO</v>
      </c>
      <c r="E25" s="46" t="str">
        <f t="shared" si="8"/>
        <v>Colombia</v>
      </c>
      <c r="F25" s="22" t="s">
        <v>387</v>
      </c>
      <c r="G25" s="85" t="s">
        <v>210</v>
      </c>
      <c r="H25" s="86">
        <v>1</v>
      </c>
      <c r="I25" s="22" t="s">
        <v>391</v>
      </c>
      <c r="J25" s="18" t="s">
        <v>152</v>
      </c>
      <c r="K25" s="86">
        <v>90</v>
      </c>
      <c r="L25" s="105"/>
      <c r="M25" s="106"/>
      <c r="N25" s="41">
        <f t="shared" si="14"/>
        <v>0</v>
      </c>
      <c r="O25" s="41">
        <f t="shared" si="15"/>
        <v>1500</v>
      </c>
      <c r="P25" s="41">
        <f t="shared" si="16"/>
        <v>3810</v>
      </c>
      <c r="Q25" s="42">
        <f t="shared" si="17"/>
        <v>5310</v>
      </c>
      <c r="R25" s="104" t="str">
        <f t="shared" si="18"/>
        <v/>
      </c>
    </row>
    <row r="26" spans="2:18" s="38" customFormat="1" x14ac:dyDescent="0.25">
      <c r="B26" s="18" t="s">
        <v>172</v>
      </c>
      <c r="C26" s="23" t="s">
        <v>11</v>
      </c>
      <c r="D26" s="46" t="str">
        <f t="shared" si="7"/>
        <v>UNIVERSIDAD SAN FRANCISCO DE QUITO</v>
      </c>
      <c r="E26" s="46" t="str">
        <f t="shared" si="8"/>
        <v>Ecuador</v>
      </c>
      <c r="F26" s="22" t="s">
        <v>381</v>
      </c>
      <c r="G26" s="85" t="s">
        <v>210</v>
      </c>
      <c r="H26" s="86">
        <v>1</v>
      </c>
      <c r="I26" s="22" t="s">
        <v>388</v>
      </c>
      <c r="J26" s="18" t="s">
        <v>152</v>
      </c>
      <c r="K26" s="86">
        <v>90</v>
      </c>
      <c r="L26" s="105"/>
      <c r="M26" s="106"/>
      <c r="N26" s="41">
        <f t="shared" si="2"/>
        <v>0</v>
      </c>
      <c r="O26" s="41">
        <f t="shared" si="3"/>
        <v>1500</v>
      </c>
      <c r="P26" s="41">
        <f t="shared" si="4"/>
        <v>3810</v>
      </c>
      <c r="Q26" s="42">
        <f t="shared" si="5"/>
        <v>5310</v>
      </c>
      <c r="R26" s="104" t="str">
        <f t="shared" si="6"/>
        <v/>
      </c>
    </row>
    <row r="27" spans="2:18" s="38" customFormat="1" x14ac:dyDescent="0.25">
      <c r="B27" s="18" t="s">
        <v>172</v>
      </c>
      <c r="C27" s="23" t="s">
        <v>11</v>
      </c>
      <c r="D27" s="46" t="str">
        <f t="shared" si="7"/>
        <v>UNIVERSIDAD SAN FRANCISCO DE QUITO</v>
      </c>
      <c r="E27" s="46" t="str">
        <f t="shared" si="8"/>
        <v>Ecuador</v>
      </c>
      <c r="F27" s="22" t="s">
        <v>381</v>
      </c>
      <c r="G27" s="85" t="s">
        <v>210</v>
      </c>
      <c r="H27" s="86">
        <v>1</v>
      </c>
      <c r="I27" s="22" t="s">
        <v>390</v>
      </c>
      <c r="J27" s="18" t="s">
        <v>152</v>
      </c>
      <c r="K27" s="86">
        <v>90</v>
      </c>
      <c r="L27" s="105"/>
      <c r="M27" s="106"/>
      <c r="N27" s="41">
        <f t="shared" si="2"/>
        <v>0</v>
      </c>
      <c r="O27" s="41">
        <f t="shared" si="3"/>
        <v>1500</v>
      </c>
      <c r="P27" s="41">
        <f t="shared" si="4"/>
        <v>3810</v>
      </c>
      <c r="Q27" s="42">
        <f t="shared" si="5"/>
        <v>5310</v>
      </c>
      <c r="R27" s="104" t="str">
        <f t="shared" si="6"/>
        <v/>
      </c>
    </row>
    <row r="28" spans="2:18" s="38" customFormat="1" x14ac:dyDescent="0.25">
      <c r="B28" s="18" t="s">
        <v>172</v>
      </c>
      <c r="C28" s="23" t="s">
        <v>11</v>
      </c>
      <c r="D28" s="46" t="str">
        <f t="shared" si="7"/>
        <v>UNIVERSIDAD SAN FRANCISCO DE QUITO</v>
      </c>
      <c r="E28" s="46" t="str">
        <f t="shared" si="8"/>
        <v>Ecuador</v>
      </c>
      <c r="F28" s="22" t="s">
        <v>381</v>
      </c>
      <c r="G28" s="85" t="s">
        <v>210</v>
      </c>
      <c r="H28" s="86">
        <v>1</v>
      </c>
      <c r="I28" s="22" t="s">
        <v>389</v>
      </c>
      <c r="J28" s="18" t="s">
        <v>152</v>
      </c>
      <c r="K28" s="86">
        <v>90</v>
      </c>
      <c r="L28" s="105"/>
      <c r="M28" s="106"/>
      <c r="N28" s="41">
        <f t="shared" ref="N28:N29" si="19">IF(AND(M28&gt;0,L28&lt;&gt;""),IF(M28&gt;(ROUND( (ROUND(ROUND(H28,0)*(VLOOKUP(J28,TravelCosts,2,FALSE)),2))/0.65,2)),ROUND(M28*0.8,2),"covered by unit cost"),0)</f>
        <v>0</v>
      </c>
      <c r="O28" s="41">
        <f t="shared" ref="O28:O29" si="20">IF(OR(AND(L28&lt;&gt;"",M28&gt;0,ISNUMBER(N28)),R28="Error"),0,ROUND(ROUND(H28,0)*(VLOOKUP(J28,TravelCosts,2,FALSE)),2))</f>
        <v>1500</v>
      </c>
      <c r="P28" s="41">
        <f t="shared" ref="P28:P29" si="21">IF(R28="Error",0,IF(AND(G28="Staff",K28&gt;0,K28&lt;15),(120*K28)*H28,IF(AND(G28="Staff",K28&gt;14,K28&lt;61),(1680+((K28-14)*70))*H28,IF(AND(G28="Staff",K28&gt;60,K28&lt;91),(4900+((K28-60)*50))*H28,IF(AND(G28="Student",K28&gt;0,K28&lt;15),(55*K28)*H28,IF(AND(G28="Student",K28&gt;14,K28&lt;91),(770+((K28-14)*40))*H28,0))))))</f>
        <v>3810</v>
      </c>
      <c r="Q28" s="42">
        <f t="shared" ref="Q28:Q29" si="22">IFERROR(N28+O28+P28,O28+P28)</f>
        <v>5310</v>
      </c>
      <c r="R28" s="104" t="str">
        <f t="shared" ref="R28:R29" si="23">IF(OR(COUNTIF(WorkPackage,B28)=0,COUNTIF(PartnerN°,C28)=0,D28="",COUNTIF(CountryALL,E28)=0,F28="",COUNTIF(Category2,G28)=0,ISNUMBER(H28)=FALSE,H28&lt;=0,I28="",COUNTIF(TravelBands,J28)=0,ISNUMBER(K28)=FALSE,OR(K28&lt;0,K28&gt;90),IF(ISNUMBER(H28)=TRUE,H28=INT(H28*1)/1=FALSE),IF(ISNUMBER(K28)=TRUE,K28=INT(K28*1)/1=FALSE),AND(L28&lt;&gt;"",M28=0),AND(L28="",M28&gt;0),ISNUMBER(N28)=FALSE ),"Error","")</f>
        <v/>
      </c>
    </row>
    <row r="29" spans="2:18" s="38" customFormat="1" x14ac:dyDescent="0.25">
      <c r="B29" s="18" t="s">
        <v>172</v>
      </c>
      <c r="C29" s="23" t="s">
        <v>11</v>
      </c>
      <c r="D29" s="46" t="str">
        <f t="shared" si="7"/>
        <v>UNIVERSIDAD SAN FRANCISCO DE QUITO</v>
      </c>
      <c r="E29" s="46" t="str">
        <f t="shared" si="8"/>
        <v>Ecuador</v>
      </c>
      <c r="F29" s="22" t="s">
        <v>381</v>
      </c>
      <c r="G29" s="85" t="s">
        <v>210</v>
      </c>
      <c r="H29" s="86">
        <v>1</v>
      </c>
      <c r="I29" s="22" t="s">
        <v>386</v>
      </c>
      <c r="J29" s="18" t="s">
        <v>152</v>
      </c>
      <c r="K29" s="86">
        <v>90</v>
      </c>
      <c r="L29" s="105"/>
      <c r="M29" s="106"/>
      <c r="N29" s="41">
        <f t="shared" si="19"/>
        <v>0</v>
      </c>
      <c r="O29" s="41">
        <f t="shared" si="20"/>
        <v>1500</v>
      </c>
      <c r="P29" s="41">
        <f t="shared" si="21"/>
        <v>3810</v>
      </c>
      <c r="Q29" s="42">
        <f t="shared" si="22"/>
        <v>5310</v>
      </c>
      <c r="R29" s="104" t="str">
        <f t="shared" si="23"/>
        <v/>
      </c>
    </row>
    <row r="30" spans="2:18" s="38" customFormat="1" ht="36" x14ac:dyDescent="0.25">
      <c r="B30" s="18" t="s">
        <v>172</v>
      </c>
      <c r="C30" s="23" t="s">
        <v>12</v>
      </c>
      <c r="D30" s="46" t="str">
        <f t="shared" si="7"/>
        <v>UNIVERSIDADDE INVESTIGACIONDE TECNOLOGIA EXPERIMENTAL YACHAY</v>
      </c>
      <c r="E30" s="46" t="str">
        <f t="shared" si="8"/>
        <v>Ecuador</v>
      </c>
      <c r="F30" s="22" t="s">
        <v>385</v>
      </c>
      <c r="G30" s="85" t="s">
        <v>210</v>
      </c>
      <c r="H30" s="86">
        <v>1</v>
      </c>
      <c r="I30" s="22" t="s">
        <v>388</v>
      </c>
      <c r="J30" s="18" t="s">
        <v>152</v>
      </c>
      <c r="K30" s="86">
        <v>90</v>
      </c>
      <c r="L30" s="105"/>
      <c r="M30" s="106"/>
      <c r="N30" s="41">
        <f t="shared" ref="N30:N31" si="24">IF(AND(M30&gt;0,L30&lt;&gt;""),IF(M30&gt;(ROUND( (ROUND(ROUND(H30,0)*(VLOOKUP(J30,TravelCosts,2,FALSE)),2))/0.65,2)),ROUND(M30*0.8,2),"covered by unit cost"),0)</f>
        <v>0</v>
      </c>
      <c r="O30" s="41">
        <f t="shared" ref="O30:O31" si="25">IF(OR(AND(L30&lt;&gt;"",M30&gt;0,ISNUMBER(N30)),R30="Error"),0,ROUND(ROUND(H30,0)*(VLOOKUP(J30,TravelCosts,2,FALSE)),2))</f>
        <v>1500</v>
      </c>
      <c r="P30" s="41">
        <f t="shared" ref="P30:P31" si="26">IF(R30="Error",0,IF(AND(G30="Staff",K30&gt;0,K30&lt;15),(120*K30)*H30,IF(AND(G30="Staff",K30&gt;14,K30&lt;61),(1680+((K30-14)*70))*H30,IF(AND(G30="Staff",K30&gt;60,K30&lt;91),(4900+((K30-60)*50))*H30,IF(AND(G30="Student",K30&gt;0,K30&lt;15),(55*K30)*H30,IF(AND(G30="Student",K30&gt;14,K30&lt;91),(770+((K30-14)*40))*H30,0))))))</f>
        <v>3810</v>
      </c>
      <c r="Q30" s="42">
        <f t="shared" ref="Q30:Q31" si="27">IFERROR(N30+O30+P30,O30+P30)</f>
        <v>5310</v>
      </c>
      <c r="R30" s="104" t="str">
        <f t="shared" ref="R30:R31" si="28">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8" customFormat="1" ht="36" x14ac:dyDescent="0.25">
      <c r="B31" s="18" t="s">
        <v>172</v>
      </c>
      <c r="C31" s="23" t="s">
        <v>12</v>
      </c>
      <c r="D31" s="46" t="str">
        <f t="shared" si="7"/>
        <v>UNIVERSIDADDE INVESTIGACIONDE TECNOLOGIA EXPERIMENTAL YACHAY</v>
      </c>
      <c r="E31" s="46" t="str">
        <f t="shared" si="8"/>
        <v>Ecuador</v>
      </c>
      <c r="F31" s="22" t="s">
        <v>385</v>
      </c>
      <c r="G31" s="85" t="s">
        <v>210</v>
      </c>
      <c r="H31" s="86">
        <v>1</v>
      </c>
      <c r="I31" s="22" t="s">
        <v>393</v>
      </c>
      <c r="J31" s="18" t="s">
        <v>152</v>
      </c>
      <c r="K31" s="86">
        <v>90</v>
      </c>
      <c r="L31" s="105"/>
      <c r="M31" s="106"/>
      <c r="N31" s="41">
        <f t="shared" si="24"/>
        <v>0</v>
      </c>
      <c r="O31" s="41">
        <f t="shared" si="25"/>
        <v>1500</v>
      </c>
      <c r="P31" s="41">
        <f t="shared" si="26"/>
        <v>3810</v>
      </c>
      <c r="Q31" s="42">
        <f t="shared" si="27"/>
        <v>5310</v>
      </c>
      <c r="R31" s="104" t="str">
        <f t="shared" si="28"/>
        <v/>
      </c>
    </row>
    <row r="32" spans="2:18" s="38" customFormat="1" ht="36" x14ac:dyDescent="0.25">
      <c r="B32" s="18" t="s">
        <v>172</v>
      </c>
      <c r="C32" s="23" t="s">
        <v>12</v>
      </c>
      <c r="D32" s="46" t="str">
        <f t="shared" si="7"/>
        <v>UNIVERSIDADDE INVESTIGACIONDE TECNOLOGIA EXPERIMENTAL YACHAY</v>
      </c>
      <c r="E32" s="46" t="str">
        <f t="shared" si="8"/>
        <v>Ecuador</v>
      </c>
      <c r="F32" s="22" t="s">
        <v>385</v>
      </c>
      <c r="G32" s="85" t="s">
        <v>210</v>
      </c>
      <c r="H32" s="86">
        <v>1</v>
      </c>
      <c r="I32" s="22" t="s">
        <v>391</v>
      </c>
      <c r="J32" s="18" t="s">
        <v>152</v>
      </c>
      <c r="K32" s="86">
        <v>90</v>
      </c>
      <c r="L32" s="105"/>
      <c r="M32" s="106"/>
      <c r="N32" s="41">
        <f t="shared" si="2"/>
        <v>0</v>
      </c>
      <c r="O32" s="41">
        <f t="shared" si="3"/>
        <v>1500</v>
      </c>
      <c r="P32" s="41">
        <f t="shared" si="4"/>
        <v>3810</v>
      </c>
      <c r="Q32" s="42">
        <f t="shared" si="5"/>
        <v>5310</v>
      </c>
      <c r="R32" s="104" t="str">
        <f t="shared" si="6"/>
        <v/>
      </c>
    </row>
    <row r="33" spans="2:18" s="38" customFormat="1" ht="36" x14ac:dyDescent="0.25">
      <c r="B33" s="18" t="s">
        <v>172</v>
      </c>
      <c r="C33" s="23" t="s">
        <v>12</v>
      </c>
      <c r="D33" s="46" t="str">
        <f t="shared" si="7"/>
        <v>UNIVERSIDADDE INVESTIGACIONDE TECNOLOGIA EXPERIMENTAL YACHAY</v>
      </c>
      <c r="E33" s="46" t="str">
        <f t="shared" si="8"/>
        <v>Ecuador</v>
      </c>
      <c r="F33" s="22" t="s">
        <v>385</v>
      </c>
      <c r="G33" s="85" t="s">
        <v>210</v>
      </c>
      <c r="H33" s="86">
        <v>1</v>
      </c>
      <c r="I33" s="22" t="s">
        <v>392</v>
      </c>
      <c r="J33" s="18" t="s">
        <v>152</v>
      </c>
      <c r="K33" s="86">
        <v>90</v>
      </c>
      <c r="L33" s="105"/>
      <c r="M33" s="106"/>
      <c r="N33" s="41">
        <f t="shared" si="2"/>
        <v>0</v>
      </c>
      <c r="O33" s="41">
        <f t="shared" si="3"/>
        <v>1500</v>
      </c>
      <c r="P33" s="41">
        <f t="shared" si="4"/>
        <v>3810</v>
      </c>
      <c r="Q33" s="42">
        <f t="shared" si="5"/>
        <v>5310</v>
      </c>
      <c r="R33" s="104" t="str">
        <f t="shared" si="6"/>
        <v/>
      </c>
    </row>
    <row r="34" spans="2:18" s="38" customFormat="1" ht="36" x14ac:dyDescent="0.25">
      <c r="B34" s="18" t="s">
        <v>172</v>
      </c>
      <c r="C34" s="23" t="s">
        <v>13</v>
      </c>
      <c r="D34" s="46" t="str">
        <f t="shared" si="7"/>
        <v>UNIVERSIDAD NACIONAL MAYOR DE SAN MARCOS</v>
      </c>
      <c r="E34" s="46" t="str">
        <f t="shared" si="8"/>
        <v>Peru</v>
      </c>
      <c r="F34" s="22" t="s">
        <v>382</v>
      </c>
      <c r="G34" s="85" t="s">
        <v>210</v>
      </c>
      <c r="H34" s="86">
        <v>1</v>
      </c>
      <c r="I34" s="22" t="s">
        <v>388</v>
      </c>
      <c r="J34" s="18" t="s">
        <v>152</v>
      </c>
      <c r="K34" s="86">
        <v>90</v>
      </c>
      <c r="L34" s="105"/>
      <c r="M34" s="106"/>
      <c r="N34" s="41">
        <f t="shared" si="2"/>
        <v>0</v>
      </c>
      <c r="O34" s="41">
        <f t="shared" si="3"/>
        <v>1500</v>
      </c>
      <c r="P34" s="41">
        <f t="shared" si="4"/>
        <v>3810</v>
      </c>
      <c r="Q34" s="42">
        <f t="shared" si="5"/>
        <v>5310</v>
      </c>
      <c r="R34" s="104" t="str">
        <f t="shared" si="6"/>
        <v/>
      </c>
    </row>
    <row r="35" spans="2:18" s="38" customFormat="1" ht="36" x14ac:dyDescent="0.25">
      <c r="B35" s="18" t="s">
        <v>172</v>
      </c>
      <c r="C35" s="23" t="s">
        <v>13</v>
      </c>
      <c r="D35" s="46" t="str">
        <f t="shared" si="7"/>
        <v>UNIVERSIDAD NACIONAL MAYOR DE SAN MARCOS</v>
      </c>
      <c r="E35" s="46" t="str">
        <f t="shared" si="8"/>
        <v>Peru</v>
      </c>
      <c r="F35" s="22" t="s">
        <v>382</v>
      </c>
      <c r="G35" s="85" t="s">
        <v>210</v>
      </c>
      <c r="H35" s="86">
        <v>1</v>
      </c>
      <c r="I35" s="22" t="s">
        <v>393</v>
      </c>
      <c r="J35" s="18" t="s">
        <v>152</v>
      </c>
      <c r="K35" s="86">
        <v>90</v>
      </c>
      <c r="L35" s="105"/>
      <c r="M35" s="106"/>
      <c r="N35" s="41">
        <f t="shared" si="2"/>
        <v>0</v>
      </c>
      <c r="O35" s="41">
        <f t="shared" si="3"/>
        <v>1500</v>
      </c>
      <c r="P35" s="41">
        <f t="shared" si="4"/>
        <v>3810</v>
      </c>
      <c r="Q35" s="42">
        <f t="shared" si="5"/>
        <v>5310</v>
      </c>
      <c r="R35" s="104" t="str">
        <f t="shared" si="6"/>
        <v/>
      </c>
    </row>
    <row r="36" spans="2:18" s="38" customFormat="1" ht="36" x14ac:dyDescent="0.25">
      <c r="B36" s="18" t="s">
        <v>172</v>
      </c>
      <c r="C36" s="23" t="s">
        <v>13</v>
      </c>
      <c r="D36" s="46" t="str">
        <f t="shared" si="7"/>
        <v>UNIVERSIDAD NACIONAL MAYOR DE SAN MARCOS</v>
      </c>
      <c r="E36" s="46" t="str">
        <f t="shared" si="8"/>
        <v>Peru</v>
      </c>
      <c r="F36" s="22" t="s">
        <v>382</v>
      </c>
      <c r="G36" s="85" t="s">
        <v>210</v>
      </c>
      <c r="H36" s="86">
        <v>1</v>
      </c>
      <c r="I36" s="22" t="s">
        <v>389</v>
      </c>
      <c r="J36" s="18" t="s">
        <v>152</v>
      </c>
      <c r="K36" s="86">
        <v>90</v>
      </c>
      <c r="L36" s="105"/>
      <c r="M36" s="106"/>
      <c r="N36" s="41">
        <f t="shared" ref="N36:N37" si="29">IF(AND(M36&gt;0,L36&lt;&gt;""),IF(M36&gt;(ROUND( (ROUND(ROUND(H36,0)*(VLOOKUP(J36,TravelCosts,2,FALSE)),2))/0.65,2)),ROUND(M36*0.8,2),"covered by unit cost"),0)</f>
        <v>0</v>
      </c>
      <c r="O36" s="41">
        <f t="shared" ref="O36:O37" si="30">IF(OR(AND(L36&lt;&gt;"",M36&gt;0,ISNUMBER(N36)),R36="Error"),0,ROUND(ROUND(H36,0)*(VLOOKUP(J36,TravelCosts,2,FALSE)),2))</f>
        <v>1500</v>
      </c>
      <c r="P36" s="41">
        <f t="shared" ref="P36:P37" si="31">IF(R36="Error",0,IF(AND(G36="Staff",K36&gt;0,K36&lt;15),(120*K36)*H36,IF(AND(G36="Staff",K36&gt;14,K36&lt;61),(1680+((K36-14)*70))*H36,IF(AND(G36="Staff",K36&gt;60,K36&lt;91),(4900+((K36-60)*50))*H36,IF(AND(G36="Student",K36&gt;0,K36&lt;15),(55*K36)*H36,IF(AND(G36="Student",K36&gt;14,K36&lt;91),(770+((K36-14)*40))*H36,0))))))</f>
        <v>3810</v>
      </c>
      <c r="Q36" s="42">
        <f t="shared" ref="Q36:Q37" si="32">IFERROR(N36+O36+P36,O36+P36)</f>
        <v>5310</v>
      </c>
      <c r="R36" s="104" t="str">
        <f t="shared" ref="R36:R37" si="33">IF(OR(COUNTIF(WorkPackage,B36)=0,COUNTIF(PartnerN°,C36)=0,D36="",COUNTIF(CountryALL,E36)=0,F36="",COUNTIF(Category2,G36)=0,ISNUMBER(H36)=FALSE,H36&lt;=0,I36="",COUNTIF(TravelBands,J36)=0,ISNUMBER(K36)=FALSE,OR(K36&lt;0,K36&gt;90),IF(ISNUMBER(H36)=TRUE,H36=INT(H36*1)/1=FALSE),IF(ISNUMBER(K36)=TRUE,K36=INT(K36*1)/1=FALSE),AND(L36&lt;&gt;"",M36=0),AND(L36="",M36&gt;0),ISNUMBER(N36)=FALSE ),"Error","")</f>
        <v/>
      </c>
    </row>
    <row r="37" spans="2:18" s="38" customFormat="1" ht="36" x14ac:dyDescent="0.25">
      <c r="B37" s="18" t="s">
        <v>172</v>
      </c>
      <c r="C37" s="23" t="s">
        <v>13</v>
      </c>
      <c r="D37" s="46" t="str">
        <f t="shared" si="7"/>
        <v>UNIVERSIDAD NACIONAL MAYOR DE SAN MARCOS</v>
      </c>
      <c r="E37" s="46" t="str">
        <f t="shared" si="8"/>
        <v>Peru</v>
      </c>
      <c r="F37" s="22" t="s">
        <v>382</v>
      </c>
      <c r="G37" s="85" t="s">
        <v>210</v>
      </c>
      <c r="H37" s="86">
        <v>1</v>
      </c>
      <c r="I37" s="22" t="s">
        <v>392</v>
      </c>
      <c r="J37" s="18" t="s">
        <v>152</v>
      </c>
      <c r="K37" s="86">
        <v>90</v>
      </c>
      <c r="L37" s="105"/>
      <c r="M37" s="106"/>
      <c r="N37" s="41">
        <f t="shared" si="29"/>
        <v>0</v>
      </c>
      <c r="O37" s="41">
        <f t="shared" si="30"/>
        <v>1500</v>
      </c>
      <c r="P37" s="41">
        <f t="shared" si="31"/>
        <v>3810</v>
      </c>
      <c r="Q37" s="42">
        <f t="shared" si="32"/>
        <v>5310</v>
      </c>
      <c r="R37" s="104" t="str">
        <f t="shared" si="33"/>
        <v/>
      </c>
    </row>
    <row r="38" spans="2:18" s="38" customFormat="1" x14ac:dyDescent="0.25">
      <c r="B38" s="18" t="s">
        <v>172</v>
      </c>
      <c r="C38" s="23" t="s">
        <v>14</v>
      </c>
      <c r="D38" s="46" t="str">
        <f t="shared" si="7"/>
        <v xml:space="preserve">Universidad Nacional de Ingenieria </v>
      </c>
      <c r="E38" s="46" t="str">
        <f t="shared" si="8"/>
        <v>Peru</v>
      </c>
      <c r="F38" s="22" t="s">
        <v>382</v>
      </c>
      <c r="G38" s="85" t="s">
        <v>210</v>
      </c>
      <c r="H38" s="86">
        <v>1</v>
      </c>
      <c r="I38" s="22" t="s">
        <v>389</v>
      </c>
      <c r="J38" s="18" t="s">
        <v>152</v>
      </c>
      <c r="K38" s="86">
        <v>90</v>
      </c>
      <c r="L38" s="105"/>
      <c r="M38" s="106"/>
      <c r="N38" s="41">
        <f t="shared" si="2"/>
        <v>0</v>
      </c>
      <c r="O38" s="41">
        <f t="shared" si="3"/>
        <v>1500</v>
      </c>
      <c r="P38" s="41">
        <f t="shared" si="4"/>
        <v>3810</v>
      </c>
      <c r="Q38" s="42">
        <f t="shared" si="5"/>
        <v>5310</v>
      </c>
      <c r="R38" s="104" t="str">
        <f t="shared" si="6"/>
        <v/>
      </c>
    </row>
    <row r="39" spans="2:18" s="38" customFormat="1" x14ac:dyDescent="0.25">
      <c r="B39" s="18" t="s">
        <v>172</v>
      </c>
      <c r="C39" s="23" t="s">
        <v>14</v>
      </c>
      <c r="D39" s="46" t="str">
        <f t="shared" si="7"/>
        <v xml:space="preserve">Universidad Nacional de Ingenieria </v>
      </c>
      <c r="E39" s="46" t="str">
        <f t="shared" si="8"/>
        <v>Peru</v>
      </c>
      <c r="F39" s="22" t="s">
        <v>382</v>
      </c>
      <c r="G39" s="85" t="s">
        <v>210</v>
      </c>
      <c r="H39" s="86">
        <v>1</v>
      </c>
      <c r="I39" s="22" t="s">
        <v>386</v>
      </c>
      <c r="J39" s="18" t="s">
        <v>152</v>
      </c>
      <c r="K39" s="86">
        <v>90</v>
      </c>
      <c r="L39" s="105"/>
      <c r="M39" s="106"/>
      <c r="N39" s="41">
        <f t="shared" si="2"/>
        <v>0</v>
      </c>
      <c r="O39" s="41">
        <f t="shared" si="3"/>
        <v>1500</v>
      </c>
      <c r="P39" s="41">
        <f t="shared" si="4"/>
        <v>3810</v>
      </c>
      <c r="Q39" s="42">
        <f t="shared" si="5"/>
        <v>5310</v>
      </c>
      <c r="R39" s="104" t="str">
        <f t="shared" si="6"/>
        <v/>
      </c>
    </row>
    <row r="40" spans="2:18" s="38" customFormat="1" x14ac:dyDescent="0.25">
      <c r="B40" s="18" t="s">
        <v>172</v>
      </c>
      <c r="C40" s="23" t="s">
        <v>14</v>
      </c>
      <c r="D40" s="46" t="str">
        <f t="shared" si="7"/>
        <v xml:space="preserve">Universidad Nacional de Ingenieria </v>
      </c>
      <c r="E40" s="46" t="str">
        <f t="shared" si="8"/>
        <v>Peru</v>
      </c>
      <c r="F40" s="22" t="s">
        <v>382</v>
      </c>
      <c r="G40" s="85" t="s">
        <v>210</v>
      </c>
      <c r="H40" s="86">
        <v>1</v>
      </c>
      <c r="I40" s="22" t="s">
        <v>388</v>
      </c>
      <c r="J40" s="18" t="s">
        <v>152</v>
      </c>
      <c r="K40" s="86">
        <v>90</v>
      </c>
      <c r="L40" s="105"/>
      <c r="M40" s="106"/>
      <c r="N40" s="41">
        <f t="shared" ref="N40:N41" si="34">IF(AND(M40&gt;0,L40&lt;&gt;""),IF(M40&gt;(ROUND( (ROUND(ROUND(H40,0)*(VLOOKUP(J40,TravelCosts,2,FALSE)),2))/0.65,2)),ROUND(M40*0.8,2),"covered by unit cost"),0)</f>
        <v>0</v>
      </c>
      <c r="O40" s="41">
        <f t="shared" ref="O40:O41" si="35">IF(OR(AND(L40&lt;&gt;"",M40&gt;0,ISNUMBER(N40)),R40="Error"),0,ROUND(ROUND(H40,0)*(VLOOKUP(J40,TravelCosts,2,FALSE)),2))</f>
        <v>1500</v>
      </c>
      <c r="P40" s="41">
        <f t="shared" ref="P40:P41" si="36">IF(R40="Error",0,IF(AND(G40="Staff",K40&gt;0,K40&lt;15),(120*K40)*H40,IF(AND(G40="Staff",K40&gt;14,K40&lt;61),(1680+((K40-14)*70))*H40,IF(AND(G40="Staff",K40&gt;60,K40&lt;91),(4900+((K40-60)*50))*H40,IF(AND(G40="Student",K40&gt;0,K40&lt;15),(55*K40)*H40,IF(AND(G40="Student",K40&gt;14,K40&lt;91),(770+((K40-14)*40))*H40,0))))))</f>
        <v>3810</v>
      </c>
      <c r="Q40" s="42">
        <f t="shared" ref="Q40:Q41" si="37">IFERROR(N40+O40+P40,O40+P40)</f>
        <v>5310</v>
      </c>
      <c r="R40" s="104" t="str">
        <f t="shared" ref="R40:R41" si="38">IF(OR(COUNTIF(WorkPackage,B40)=0,COUNTIF(PartnerN°,C40)=0,D40="",COUNTIF(CountryALL,E40)=0,F40="",COUNTIF(Category2,G40)=0,ISNUMBER(H40)=FALSE,H40&lt;=0,I40="",COUNTIF(TravelBands,J40)=0,ISNUMBER(K40)=FALSE,OR(K40&lt;0,K40&gt;90),IF(ISNUMBER(H40)=TRUE,H40=INT(H40*1)/1=FALSE),IF(ISNUMBER(K40)=TRUE,K40=INT(K40*1)/1=FALSE),AND(L40&lt;&gt;"",M40=0),AND(L40="",M40&gt;0),ISNUMBER(N40)=FALSE ),"Error","")</f>
        <v/>
      </c>
    </row>
    <row r="41" spans="2:18" s="38" customFormat="1" x14ac:dyDescent="0.25">
      <c r="B41" s="18" t="s">
        <v>172</v>
      </c>
      <c r="C41" s="23" t="s">
        <v>14</v>
      </c>
      <c r="D41" s="46" t="str">
        <f t="shared" si="7"/>
        <v xml:space="preserve">Universidad Nacional de Ingenieria </v>
      </c>
      <c r="E41" s="46" t="str">
        <f t="shared" si="8"/>
        <v>Peru</v>
      </c>
      <c r="F41" s="22" t="s">
        <v>382</v>
      </c>
      <c r="G41" s="85" t="s">
        <v>210</v>
      </c>
      <c r="H41" s="86">
        <v>1</v>
      </c>
      <c r="I41" s="22" t="s">
        <v>390</v>
      </c>
      <c r="J41" s="18" t="s">
        <v>152</v>
      </c>
      <c r="K41" s="86">
        <v>90</v>
      </c>
      <c r="L41" s="105"/>
      <c r="M41" s="106"/>
      <c r="N41" s="41">
        <f t="shared" si="34"/>
        <v>0</v>
      </c>
      <c r="O41" s="41">
        <f t="shared" si="35"/>
        <v>1500</v>
      </c>
      <c r="P41" s="41">
        <f t="shared" si="36"/>
        <v>3810</v>
      </c>
      <c r="Q41" s="42">
        <f t="shared" si="37"/>
        <v>5310</v>
      </c>
      <c r="R41" s="104" t="str">
        <f t="shared" si="38"/>
        <v/>
      </c>
    </row>
    <row r="42" spans="2:18" s="38" customFormat="1" x14ac:dyDescent="0.25">
      <c r="B42" s="18" t="s">
        <v>172</v>
      </c>
      <c r="C42" s="23" t="s">
        <v>15</v>
      </c>
      <c r="D42" s="46" t="str">
        <f t="shared" si="7"/>
        <v>UNIVERSIDAD CENTRAL DE VENEZUELA</v>
      </c>
      <c r="E42" s="46" t="str">
        <f t="shared" si="8"/>
        <v>Venezuela</v>
      </c>
      <c r="F42" s="22" t="s">
        <v>383</v>
      </c>
      <c r="G42" s="85" t="s">
        <v>210</v>
      </c>
      <c r="H42" s="86">
        <v>1</v>
      </c>
      <c r="I42" s="22" t="s">
        <v>389</v>
      </c>
      <c r="J42" s="18" t="s">
        <v>152</v>
      </c>
      <c r="K42" s="86">
        <v>90</v>
      </c>
      <c r="L42" s="105"/>
      <c r="M42" s="106"/>
      <c r="N42" s="41">
        <f t="shared" si="2"/>
        <v>0</v>
      </c>
      <c r="O42" s="41">
        <f t="shared" si="3"/>
        <v>1500</v>
      </c>
      <c r="P42" s="41">
        <f t="shared" si="4"/>
        <v>3810</v>
      </c>
      <c r="Q42" s="42">
        <f t="shared" si="5"/>
        <v>5310</v>
      </c>
      <c r="R42" s="104" t="str">
        <f t="shared" si="6"/>
        <v/>
      </c>
    </row>
    <row r="43" spans="2:18" s="38" customFormat="1" x14ac:dyDescent="0.25">
      <c r="B43" s="18" t="s">
        <v>172</v>
      </c>
      <c r="C43" s="23" t="s">
        <v>15</v>
      </c>
      <c r="D43" s="46" t="str">
        <f t="shared" si="7"/>
        <v>UNIVERSIDAD CENTRAL DE VENEZUELA</v>
      </c>
      <c r="E43" s="46" t="str">
        <f t="shared" si="8"/>
        <v>Venezuela</v>
      </c>
      <c r="F43" s="22" t="s">
        <v>383</v>
      </c>
      <c r="G43" s="85" t="s">
        <v>210</v>
      </c>
      <c r="H43" s="86">
        <v>1</v>
      </c>
      <c r="I43" s="22" t="s">
        <v>386</v>
      </c>
      <c r="J43" s="18" t="s">
        <v>152</v>
      </c>
      <c r="K43" s="86">
        <v>90</v>
      </c>
      <c r="L43" s="105"/>
      <c r="M43" s="106"/>
      <c r="N43" s="41">
        <f t="shared" si="2"/>
        <v>0</v>
      </c>
      <c r="O43" s="41">
        <f t="shared" si="3"/>
        <v>1500</v>
      </c>
      <c r="P43" s="41">
        <f t="shared" si="4"/>
        <v>3810</v>
      </c>
      <c r="Q43" s="42">
        <f t="shared" si="5"/>
        <v>5310</v>
      </c>
      <c r="R43" s="104" t="str">
        <f t="shared" si="6"/>
        <v/>
      </c>
    </row>
    <row r="44" spans="2:18" s="38" customFormat="1" x14ac:dyDescent="0.25">
      <c r="B44" s="18" t="s">
        <v>172</v>
      </c>
      <c r="C44" s="23" t="s">
        <v>15</v>
      </c>
      <c r="D44" s="46" t="str">
        <f t="shared" si="7"/>
        <v>UNIVERSIDAD CENTRAL DE VENEZUELA</v>
      </c>
      <c r="E44" s="46" t="str">
        <f t="shared" si="8"/>
        <v>Venezuela</v>
      </c>
      <c r="F44" s="22" t="s">
        <v>383</v>
      </c>
      <c r="G44" s="85" t="s">
        <v>210</v>
      </c>
      <c r="H44" s="86">
        <v>1</v>
      </c>
      <c r="I44" s="22" t="s">
        <v>391</v>
      </c>
      <c r="J44" s="18" t="s">
        <v>152</v>
      </c>
      <c r="K44" s="86">
        <v>90</v>
      </c>
      <c r="L44" s="105"/>
      <c r="M44" s="106"/>
      <c r="N44" s="41">
        <f t="shared" ref="N44:N45" si="39">IF(AND(M44&gt;0,L44&lt;&gt;""),IF(M44&gt;(ROUND( (ROUND(ROUND(H44,0)*(VLOOKUP(J44,TravelCosts,2,FALSE)),2))/0.65,2)),ROUND(M44*0.8,2),"covered by unit cost"),0)</f>
        <v>0</v>
      </c>
      <c r="O44" s="41">
        <f t="shared" ref="O44:O45" si="40">IF(OR(AND(L44&lt;&gt;"",M44&gt;0,ISNUMBER(N44)),R44="Error"),0,ROUND(ROUND(H44,0)*(VLOOKUP(J44,TravelCosts,2,FALSE)),2))</f>
        <v>1500</v>
      </c>
      <c r="P44" s="41">
        <f t="shared" ref="P44:P45" si="41">IF(R44="Error",0,IF(AND(G44="Staff",K44&gt;0,K44&lt;15),(120*K44)*H44,IF(AND(G44="Staff",K44&gt;14,K44&lt;61),(1680+((K44-14)*70))*H44,IF(AND(G44="Staff",K44&gt;60,K44&lt;91),(4900+((K44-60)*50))*H44,IF(AND(G44="Student",K44&gt;0,K44&lt;15),(55*K44)*H44,IF(AND(G44="Student",K44&gt;14,K44&lt;91),(770+((K44-14)*40))*H44,0))))))</f>
        <v>3810</v>
      </c>
      <c r="Q44" s="42">
        <f t="shared" ref="Q44:Q45" si="42">IFERROR(N44+O44+P44,O44+P44)</f>
        <v>5310</v>
      </c>
      <c r="R44" s="104" t="str">
        <f t="shared" ref="R44:R45" si="43">IF(OR(COUNTIF(WorkPackage,B44)=0,COUNTIF(PartnerN°,C44)=0,D44="",COUNTIF(CountryALL,E44)=0,F44="",COUNTIF(Category2,G44)=0,ISNUMBER(H44)=FALSE,H44&lt;=0,I44="",COUNTIF(TravelBands,J44)=0,ISNUMBER(K44)=FALSE,OR(K44&lt;0,K44&gt;90),IF(ISNUMBER(H44)=TRUE,H44=INT(H44*1)/1=FALSE),IF(ISNUMBER(K44)=TRUE,K44=INT(K44*1)/1=FALSE),AND(L44&lt;&gt;"",M44=0),AND(L44="",M44&gt;0),ISNUMBER(N44)=FALSE ),"Error","")</f>
        <v/>
      </c>
    </row>
    <row r="45" spans="2:18" s="38" customFormat="1" x14ac:dyDescent="0.25">
      <c r="B45" s="18" t="s">
        <v>172</v>
      </c>
      <c r="C45" s="23" t="s">
        <v>15</v>
      </c>
      <c r="D45" s="46" t="str">
        <f t="shared" si="7"/>
        <v>UNIVERSIDAD CENTRAL DE VENEZUELA</v>
      </c>
      <c r="E45" s="46" t="str">
        <f t="shared" si="8"/>
        <v>Venezuela</v>
      </c>
      <c r="F45" s="22" t="s">
        <v>383</v>
      </c>
      <c r="G45" s="85" t="s">
        <v>210</v>
      </c>
      <c r="H45" s="86">
        <v>1</v>
      </c>
      <c r="I45" s="22" t="s">
        <v>388</v>
      </c>
      <c r="J45" s="18" t="s">
        <v>152</v>
      </c>
      <c r="K45" s="86">
        <v>90</v>
      </c>
      <c r="L45" s="105"/>
      <c r="M45" s="106"/>
      <c r="N45" s="41">
        <f t="shared" si="39"/>
        <v>0</v>
      </c>
      <c r="O45" s="41">
        <f t="shared" si="40"/>
        <v>1500</v>
      </c>
      <c r="P45" s="41">
        <f t="shared" si="41"/>
        <v>3810</v>
      </c>
      <c r="Q45" s="42">
        <f t="shared" si="42"/>
        <v>5310</v>
      </c>
      <c r="R45" s="104" t="str">
        <f t="shared" si="43"/>
        <v/>
      </c>
    </row>
    <row r="46" spans="2:18" s="38" customFormat="1" x14ac:dyDescent="0.25">
      <c r="B46" s="18" t="s">
        <v>172</v>
      </c>
      <c r="C46" s="23" t="s">
        <v>16</v>
      </c>
      <c r="D46" s="46" t="str">
        <f t="shared" si="7"/>
        <v>UNIVERSIDAD SIMON BOLIVAR</v>
      </c>
      <c r="E46" s="46" t="str">
        <f t="shared" si="8"/>
        <v>Venezuela</v>
      </c>
      <c r="F46" s="22" t="s">
        <v>383</v>
      </c>
      <c r="G46" s="85" t="s">
        <v>210</v>
      </c>
      <c r="H46" s="86">
        <v>1</v>
      </c>
      <c r="I46" s="22" t="s">
        <v>391</v>
      </c>
      <c r="J46" s="18" t="s">
        <v>152</v>
      </c>
      <c r="K46" s="86">
        <v>90</v>
      </c>
      <c r="L46" s="105"/>
      <c r="M46" s="106"/>
      <c r="N46" s="41">
        <f t="shared" si="2"/>
        <v>0</v>
      </c>
      <c r="O46" s="41">
        <f t="shared" si="3"/>
        <v>1500</v>
      </c>
      <c r="P46" s="41">
        <f t="shared" si="4"/>
        <v>3810</v>
      </c>
      <c r="Q46" s="42">
        <f t="shared" si="5"/>
        <v>5310</v>
      </c>
      <c r="R46" s="104" t="str">
        <f t="shared" si="6"/>
        <v/>
      </c>
    </row>
    <row r="47" spans="2:18" s="38" customFormat="1" x14ac:dyDescent="0.25">
      <c r="B47" s="18" t="s">
        <v>172</v>
      </c>
      <c r="C47" s="23" t="s">
        <v>16</v>
      </c>
      <c r="D47" s="46" t="str">
        <f t="shared" si="7"/>
        <v>UNIVERSIDAD SIMON BOLIVAR</v>
      </c>
      <c r="E47" s="46" t="str">
        <f t="shared" si="8"/>
        <v>Venezuela</v>
      </c>
      <c r="F47" s="22" t="s">
        <v>383</v>
      </c>
      <c r="G47" s="85" t="s">
        <v>210</v>
      </c>
      <c r="H47" s="86">
        <v>1</v>
      </c>
      <c r="I47" s="22" t="s">
        <v>393</v>
      </c>
      <c r="J47" s="18" t="s">
        <v>152</v>
      </c>
      <c r="K47" s="86">
        <v>90</v>
      </c>
      <c r="L47" s="105"/>
      <c r="M47" s="106"/>
      <c r="N47" s="41">
        <f t="shared" ref="N47:N108" si="44">IF(AND(M47&gt;0,L47&lt;&gt;""),IF(M47&gt;(ROUND( (ROUND(ROUND(H47,0)*(VLOOKUP(J47,TravelCosts,2,FALSE)),2))/0.65,2)),ROUND(M47*0.8,2),"covered by unit cost"),0)</f>
        <v>0</v>
      </c>
      <c r="O47" s="41">
        <f t="shared" ref="O47:O108" si="45">IF(OR(AND(L47&lt;&gt;"",M47&gt;0,ISNUMBER(N47)),R47="Error"),0,ROUND(ROUND(H47,0)*(VLOOKUP(J47,TravelCosts,2,FALSE)),2))</f>
        <v>1500</v>
      </c>
      <c r="P47" s="41">
        <f t="shared" ref="P47:P108" si="46">IF(R47="Error",0,IF(AND(G47="Staff",K47&gt;0,K47&lt;15),(120*K47)*H47,IF(AND(G47="Staff",K47&gt;14,K47&lt;61),(1680+((K47-14)*70))*H47,IF(AND(G47="Staff",K47&gt;60,K47&lt;91),(4900+((K47-60)*50))*H47,IF(AND(G47="Student",K47&gt;0,K47&lt;15),(55*K47)*H47,IF(AND(G47="Student",K47&gt;14,K47&lt;91),(770+((K47-14)*40))*H47,0))))))</f>
        <v>3810</v>
      </c>
      <c r="Q47" s="42">
        <f t="shared" ref="Q47:Q108" si="47">IFERROR(N47+O47+P47,O47+P47)</f>
        <v>5310</v>
      </c>
      <c r="R47" s="104" t="str">
        <f t="shared" ref="R47:R108" si="48">IF(OR(COUNTIF(WorkPackage,B47)=0,COUNTIF(PartnerN°,C47)=0,D47="",COUNTIF(CountryALL,E47)=0,F47="",COUNTIF(Category2,G47)=0,ISNUMBER(H47)=FALSE,H47&lt;=0,I47="",COUNTIF(TravelBands,J47)=0,ISNUMBER(K47)=FALSE,OR(K47&lt;0,K47&gt;90),IF(ISNUMBER(H47)=TRUE,H47=INT(H47*1)/1=FALSE),IF(ISNUMBER(K47)=TRUE,K47=INT(K47*1)/1=FALSE),AND(L47&lt;&gt;"",M47=0),AND(L47="",M47&gt;0),ISNUMBER(N47)=FALSE ),"Error","")</f>
        <v/>
      </c>
    </row>
    <row r="48" spans="2:18" s="38" customFormat="1" x14ac:dyDescent="0.25">
      <c r="B48" s="18" t="s">
        <v>172</v>
      </c>
      <c r="C48" s="23" t="s">
        <v>16</v>
      </c>
      <c r="D48" s="46" t="str">
        <f t="shared" si="7"/>
        <v>UNIVERSIDAD SIMON BOLIVAR</v>
      </c>
      <c r="E48" s="46" t="str">
        <f t="shared" si="8"/>
        <v>Venezuela</v>
      </c>
      <c r="F48" s="22" t="s">
        <v>383</v>
      </c>
      <c r="G48" s="85" t="s">
        <v>210</v>
      </c>
      <c r="H48" s="86">
        <v>1</v>
      </c>
      <c r="I48" s="22" t="s">
        <v>389</v>
      </c>
      <c r="J48" s="18" t="s">
        <v>152</v>
      </c>
      <c r="K48" s="86">
        <v>90</v>
      </c>
      <c r="L48" s="105"/>
      <c r="M48" s="106"/>
      <c r="N48" s="41">
        <f t="shared" si="44"/>
        <v>0</v>
      </c>
      <c r="O48" s="41">
        <f t="shared" si="45"/>
        <v>1500</v>
      </c>
      <c r="P48" s="41">
        <f t="shared" si="46"/>
        <v>3810</v>
      </c>
      <c r="Q48" s="42">
        <f t="shared" si="47"/>
        <v>5310</v>
      </c>
      <c r="R48" s="104" t="str">
        <f t="shared" si="48"/>
        <v/>
      </c>
    </row>
    <row r="49" spans="2:18" s="38" customFormat="1" x14ac:dyDescent="0.25">
      <c r="B49" s="18" t="s">
        <v>172</v>
      </c>
      <c r="C49" s="23" t="s">
        <v>16</v>
      </c>
      <c r="D49" s="46" t="str">
        <f t="shared" si="7"/>
        <v>UNIVERSIDAD SIMON BOLIVAR</v>
      </c>
      <c r="E49" s="46" t="str">
        <f t="shared" si="8"/>
        <v>Venezuela</v>
      </c>
      <c r="F49" s="22" t="s">
        <v>383</v>
      </c>
      <c r="G49" s="85" t="s">
        <v>210</v>
      </c>
      <c r="H49" s="86">
        <v>1</v>
      </c>
      <c r="I49" s="22" t="s">
        <v>391</v>
      </c>
      <c r="J49" s="18" t="s">
        <v>152</v>
      </c>
      <c r="K49" s="86">
        <v>90</v>
      </c>
      <c r="L49" s="105"/>
      <c r="M49" s="106"/>
      <c r="N49" s="41">
        <f t="shared" si="44"/>
        <v>0</v>
      </c>
      <c r="O49" s="41">
        <f t="shared" si="45"/>
        <v>1500</v>
      </c>
      <c r="P49" s="41">
        <f t="shared" si="46"/>
        <v>3810</v>
      </c>
      <c r="Q49" s="42">
        <f t="shared" si="47"/>
        <v>5310</v>
      </c>
      <c r="R49" s="104" t="str">
        <f t="shared" si="48"/>
        <v/>
      </c>
    </row>
    <row r="50" spans="2:18" s="38" customFormat="1" x14ac:dyDescent="0.25">
      <c r="B50" s="18" t="s">
        <v>172</v>
      </c>
      <c r="C50" s="23" t="s">
        <v>9</v>
      </c>
      <c r="D50" s="46" t="str">
        <f t="shared" si="7"/>
        <v>Universidad Industrial de Santander</v>
      </c>
      <c r="E50" s="46" t="str">
        <f t="shared" si="8"/>
        <v>Colombia</v>
      </c>
      <c r="F50" s="22" t="s">
        <v>384</v>
      </c>
      <c r="G50" s="85" t="s">
        <v>210</v>
      </c>
      <c r="H50" s="86">
        <v>1</v>
      </c>
      <c r="I50" s="22" t="s">
        <v>382</v>
      </c>
      <c r="J50" s="18" t="s">
        <v>151</v>
      </c>
      <c r="K50" s="86">
        <v>90</v>
      </c>
      <c r="L50" s="105"/>
      <c r="M50" s="106"/>
      <c r="N50" s="41">
        <f t="shared" si="44"/>
        <v>0</v>
      </c>
      <c r="O50" s="41">
        <f t="shared" si="45"/>
        <v>360</v>
      </c>
      <c r="P50" s="41">
        <f t="shared" si="46"/>
        <v>3810</v>
      </c>
      <c r="Q50" s="42">
        <f t="shared" si="47"/>
        <v>4170</v>
      </c>
      <c r="R50" s="104" t="str">
        <f t="shared" si="48"/>
        <v/>
      </c>
    </row>
    <row r="51" spans="2:18" s="38" customFormat="1" x14ac:dyDescent="0.25">
      <c r="B51" s="18" t="s">
        <v>172</v>
      </c>
      <c r="C51" s="23" t="s">
        <v>9</v>
      </c>
      <c r="D51" s="46" t="str">
        <f t="shared" si="7"/>
        <v>Universidad Industrial de Santander</v>
      </c>
      <c r="E51" s="46" t="str">
        <f t="shared" si="8"/>
        <v>Colombia</v>
      </c>
      <c r="F51" s="22" t="s">
        <v>384</v>
      </c>
      <c r="G51" s="85" t="s">
        <v>210</v>
      </c>
      <c r="H51" s="86">
        <v>1</v>
      </c>
      <c r="I51" s="22" t="s">
        <v>381</v>
      </c>
      <c r="J51" s="18" t="s">
        <v>150</v>
      </c>
      <c r="K51" s="86">
        <v>90</v>
      </c>
      <c r="L51" s="105"/>
      <c r="M51" s="106"/>
      <c r="N51" s="41">
        <f t="shared" si="44"/>
        <v>0</v>
      </c>
      <c r="O51" s="41">
        <f t="shared" si="45"/>
        <v>275</v>
      </c>
      <c r="P51" s="41">
        <f t="shared" si="46"/>
        <v>3810</v>
      </c>
      <c r="Q51" s="42">
        <f t="shared" si="47"/>
        <v>4085</v>
      </c>
      <c r="R51" s="104" t="str">
        <f t="shared" si="48"/>
        <v/>
      </c>
    </row>
    <row r="52" spans="2:18" s="38" customFormat="1" x14ac:dyDescent="0.25">
      <c r="B52" s="18" t="s">
        <v>172</v>
      </c>
      <c r="C52" s="23" t="s">
        <v>9</v>
      </c>
      <c r="D52" s="46" t="str">
        <f t="shared" si="7"/>
        <v>Universidad Industrial de Santander</v>
      </c>
      <c r="E52" s="46" t="str">
        <f t="shared" si="8"/>
        <v>Colombia</v>
      </c>
      <c r="F52" s="22" t="s">
        <v>384</v>
      </c>
      <c r="G52" s="85" t="s">
        <v>210</v>
      </c>
      <c r="H52" s="86">
        <v>1</v>
      </c>
      <c r="I52" s="22" t="s">
        <v>382</v>
      </c>
      <c r="J52" s="18" t="s">
        <v>151</v>
      </c>
      <c r="K52" s="86">
        <v>90</v>
      </c>
      <c r="L52" s="105"/>
      <c r="M52" s="106"/>
      <c r="N52" s="41">
        <f t="shared" si="44"/>
        <v>0</v>
      </c>
      <c r="O52" s="41">
        <f t="shared" si="45"/>
        <v>360</v>
      </c>
      <c r="P52" s="41">
        <f t="shared" si="46"/>
        <v>3810</v>
      </c>
      <c r="Q52" s="42">
        <f t="shared" si="47"/>
        <v>4170</v>
      </c>
      <c r="R52" s="104" t="str">
        <f t="shared" si="48"/>
        <v/>
      </c>
    </row>
    <row r="53" spans="2:18" s="38" customFormat="1" x14ac:dyDescent="0.25">
      <c r="B53" s="18" t="s">
        <v>172</v>
      </c>
      <c r="C53" s="23" t="s">
        <v>9</v>
      </c>
      <c r="D53" s="46" t="str">
        <f t="shared" si="7"/>
        <v>Universidad Industrial de Santander</v>
      </c>
      <c r="E53" s="46" t="str">
        <f t="shared" si="8"/>
        <v>Colombia</v>
      </c>
      <c r="F53" s="22" t="s">
        <v>384</v>
      </c>
      <c r="G53" s="85" t="s">
        <v>210</v>
      </c>
      <c r="H53" s="86">
        <v>1</v>
      </c>
      <c r="I53" s="22" t="s">
        <v>385</v>
      </c>
      <c r="J53" s="18" t="s">
        <v>150</v>
      </c>
      <c r="K53" s="86">
        <v>90</v>
      </c>
      <c r="L53" s="105"/>
      <c r="M53" s="106"/>
      <c r="N53" s="41">
        <f t="shared" si="44"/>
        <v>0</v>
      </c>
      <c r="O53" s="41">
        <f t="shared" si="45"/>
        <v>275</v>
      </c>
      <c r="P53" s="41">
        <f t="shared" si="46"/>
        <v>3810</v>
      </c>
      <c r="Q53" s="42">
        <f t="shared" si="47"/>
        <v>4085</v>
      </c>
      <c r="R53" s="104" t="str">
        <f t="shared" si="48"/>
        <v/>
      </c>
    </row>
    <row r="54" spans="2:18" s="38" customFormat="1" x14ac:dyDescent="0.25">
      <c r="B54" s="18" t="s">
        <v>172</v>
      </c>
      <c r="C54" s="23" t="s">
        <v>10</v>
      </c>
      <c r="D54" s="46" t="str">
        <f t="shared" si="7"/>
        <v>UNIVERSIDAD ANTONIO NARINO</v>
      </c>
      <c r="E54" s="46" t="str">
        <f t="shared" si="8"/>
        <v>Colombia</v>
      </c>
      <c r="F54" s="22" t="s">
        <v>387</v>
      </c>
      <c r="G54" s="85" t="s">
        <v>210</v>
      </c>
      <c r="H54" s="86">
        <v>1</v>
      </c>
      <c r="I54" s="22" t="s">
        <v>382</v>
      </c>
      <c r="J54" s="18" t="s">
        <v>150</v>
      </c>
      <c r="K54" s="86">
        <v>90</v>
      </c>
      <c r="L54" s="105"/>
      <c r="M54" s="106"/>
      <c r="N54" s="41">
        <f t="shared" si="44"/>
        <v>0</v>
      </c>
      <c r="O54" s="41">
        <f t="shared" si="45"/>
        <v>275</v>
      </c>
      <c r="P54" s="41">
        <f t="shared" si="46"/>
        <v>3810</v>
      </c>
      <c r="Q54" s="42">
        <f t="shared" si="47"/>
        <v>4085</v>
      </c>
      <c r="R54" s="104" t="str">
        <f t="shared" si="48"/>
        <v/>
      </c>
    </row>
    <row r="55" spans="2:18" s="38" customFormat="1" x14ac:dyDescent="0.25">
      <c r="B55" s="18" t="s">
        <v>172</v>
      </c>
      <c r="C55" s="23" t="s">
        <v>10</v>
      </c>
      <c r="D55" s="46" t="str">
        <f t="shared" si="7"/>
        <v>UNIVERSIDAD ANTONIO NARINO</v>
      </c>
      <c r="E55" s="46" t="str">
        <f t="shared" si="8"/>
        <v>Colombia</v>
      </c>
      <c r="F55" s="22" t="s">
        <v>387</v>
      </c>
      <c r="G55" s="85" t="s">
        <v>210</v>
      </c>
      <c r="H55" s="86">
        <v>1</v>
      </c>
      <c r="I55" s="22" t="s">
        <v>381</v>
      </c>
      <c r="J55" s="18" t="s">
        <v>150</v>
      </c>
      <c r="K55" s="86">
        <v>90</v>
      </c>
      <c r="L55" s="105"/>
      <c r="M55" s="106"/>
      <c r="N55" s="41">
        <f t="shared" si="44"/>
        <v>0</v>
      </c>
      <c r="O55" s="41">
        <f t="shared" si="45"/>
        <v>275</v>
      </c>
      <c r="P55" s="41">
        <f t="shared" si="46"/>
        <v>3810</v>
      </c>
      <c r="Q55" s="42">
        <f t="shared" si="47"/>
        <v>4085</v>
      </c>
      <c r="R55" s="104" t="str">
        <f t="shared" si="48"/>
        <v/>
      </c>
    </row>
    <row r="56" spans="2:18" s="38" customFormat="1" x14ac:dyDescent="0.25">
      <c r="B56" s="18" t="s">
        <v>172</v>
      </c>
      <c r="C56" s="23" t="s">
        <v>10</v>
      </c>
      <c r="D56" s="46" t="str">
        <f t="shared" si="7"/>
        <v>UNIVERSIDAD ANTONIO NARINO</v>
      </c>
      <c r="E56" s="46" t="str">
        <f t="shared" si="8"/>
        <v>Colombia</v>
      </c>
      <c r="F56" s="22" t="s">
        <v>387</v>
      </c>
      <c r="G56" s="85" t="s">
        <v>210</v>
      </c>
      <c r="H56" s="86">
        <v>1</v>
      </c>
      <c r="I56" s="22" t="s">
        <v>385</v>
      </c>
      <c r="J56" s="18" t="s">
        <v>150</v>
      </c>
      <c r="K56" s="86">
        <v>90</v>
      </c>
      <c r="L56" s="105"/>
      <c r="M56" s="106"/>
      <c r="N56" s="41">
        <f t="shared" si="44"/>
        <v>0</v>
      </c>
      <c r="O56" s="41">
        <f t="shared" si="45"/>
        <v>275</v>
      </c>
      <c r="P56" s="41">
        <f t="shared" si="46"/>
        <v>3810</v>
      </c>
      <c r="Q56" s="42">
        <f t="shared" si="47"/>
        <v>4085</v>
      </c>
      <c r="R56" s="104" t="str">
        <f t="shared" si="48"/>
        <v/>
      </c>
    </row>
    <row r="57" spans="2:18" s="38" customFormat="1" x14ac:dyDescent="0.25">
      <c r="B57" s="18" t="s">
        <v>172</v>
      </c>
      <c r="C57" s="23" t="s">
        <v>10</v>
      </c>
      <c r="D57" s="46" t="str">
        <f t="shared" si="7"/>
        <v>UNIVERSIDAD ANTONIO NARINO</v>
      </c>
      <c r="E57" s="46" t="str">
        <f t="shared" si="8"/>
        <v>Colombia</v>
      </c>
      <c r="F57" s="22" t="s">
        <v>387</v>
      </c>
      <c r="G57" s="85" t="s">
        <v>210</v>
      </c>
      <c r="H57" s="86">
        <v>1</v>
      </c>
      <c r="I57" s="22" t="s">
        <v>382</v>
      </c>
      <c r="J57" s="18" t="s">
        <v>150</v>
      </c>
      <c r="K57" s="86">
        <v>90</v>
      </c>
      <c r="L57" s="105"/>
      <c r="M57" s="106"/>
      <c r="N57" s="41">
        <f t="shared" si="44"/>
        <v>0</v>
      </c>
      <c r="O57" s="41">
        <f t="shared" si="45"/>
        <v>275</v>
      </c>
      <c r="P57" s="41">
        <f t="shared" si="46"/>
        <v>3810</v>
      </c>
      <c r="Q57" s="42">
        <f t="shared" si="47"/>
        <v>4085</v>
      </c>
      <c r="R57" s="104" t="str">
        <f t="shared" si="48"/>
        <v/>
      </c>
    </row>
    <row r="58" spans="2:18" s="38" customFormat="1" x14ac:dyDescent="0.25">
      <c r="B58" s="18" t="s">
        <v>172</v>
      </c>
      <c r="C58" s="23" t="s">
        <v>11</v>
      </c>
      <c r="D58" s="46" t="str">
        <f t="shared" si="7"/>
        <v>UNIVERSIDAD SAN FRANCISCO DE QUITO</v>
      </c>
      <c r="E58" s="46" t="str">
        <f t="shared" si="8"/>
        <v>Ecuador</v>
      </c>
      <c r="F58" s="22" t="s">
        <v>381</v>
      </c>
      <c r="G58" s="85" t="s">
        <v>210</v>
      </c>
      <c r="H58" s="86">
        <v>1</v>
      </c>
      <c r="I58" s="22" t="s">
        <v>384</v>
      </c>
      <c r="J58" s="18" t="s">
        <v>150</v>
      </c>
      <c r="K58" s="86">
        <v>90</v>
      </c>
      <c r="L58" s="105"/>
      <c r="M58" s="106"/>
      <c r="N58" s="41">
        <f t="shared" si="44"/>
        <v>0</v>
      </c>
      <c r="O58" s="41">
        <f t="shared" si="45"/>
        <v>275</v>
      </c>
      <c r="P58" s="41">
        <f t="shared" si="46"/>
        <v>3810</v>
      </c>
      <c r="Q58" s="42">
        <f t="shared" si="47"/>
        <v>4085</v>
      </c>
      <c r="R58" s="104" t="str">
        <f t="shared" si="48"/>
        <v/>
      </c>
    </row>
    <row r="59" spans="2:18" s="38" customFormat="1" x14ac:dyDescent="0.25">
      <c r="B59" s="18" t="s">
        <v>172</v>
      </c>
      <c r="C59" s="23" t="s">
        <v>11</v>
      </c>
      <c r="D59" s="46" t="str">
        <f t="shared" si="7"/>
        <v>UNIVERSIDAD SAN FRANCISCO DE QUITO</v>
      </c>
      <c r="E59" s="46" t="str">
        <f t="shared" si="8"/>
        <v>Ecuador</v>
      </c>
      <c r="F59" s="22" t="s">
        <v>381</v>
      </c>
      <c r="G59" s="85" t="s">
        <v>210</v>
      </c>
      <c r="H59" s="86">
        <v>1</v>
      </c>
      <c r="I59" s="22" t="s">
        <v>382</v>
      </c>
      <c r="J59" s="18" t="s">
        <v>150</v>
      </c>
      <c r="K59" s="86">
        <v>90</v>
      </c>
      <c r="L59" s="105"/>
      <c r="M59" s="106"/>
      <c r="N59" s="41">
        <f t="shared" si="44"/>
        <v>0</v>
      </c>
      <c r="O59" s="41">
        <f t="shared" si="45"/>
        <v>275</v>
      </c>
      <c r="P59" s="41">
        <f t="shared" si="46"/>
        <v>3810</v>
      </c>
      <c r="Q59" s="42">
        <f t="shared" si="47"/>
        <v>4085</v>
      </c>
      <c r="R59" s="104" t="str">
        <f t="shared" si="48"/>
        <v/>
      </c>
    </row>
    <row r="60" spans="2:18" s="38" customFormat="1" x14ac:dyDescent="0.25">
      <c r="B60" s="18" t="s">
        <v>172</v>
      </c>
      <c r="C60" s="23" t="s">
        <v>11</v>
      </c>
      <c r="D60" s="46" t="str">
        <f t="shared" si="7"/>
        <v>UNIVERSIDAD SAN FRANCISCO DE QUITO</v>
      </c>
      <c r="E60" s="46" t="str">
        <f t="shared" si="8"/>
        <v>Ecuador</v>
      </c>
      <c r="F60" s="22" t="s">
        <v>381</v>
      </c>
      <c r="G60" s="85" t="s">
        <v>210</v>
      </c>
      <c r="H60" s="86">
        <v>1</v>
      </c>
      <c r="I60" s="22" t="s">
        <v>382</v>
      </c>
      <c r="J60" s="18" t="s">
        <v>150</v>
      </c>
      <c r="K60" s="86">
        <v>90</v>
      </c>
      <c r="L60" s="105"/>
      <c r="M60" s="106"/>
      <c r="N60" s="41">
        <f t="shared" si="44"/>
        <v>0</v>
      </c>
      <c r="O60" s="41">
        <f t="shared" si="45"/>
        <v>275</v>
      </c>
      <c r="P60" s="41">
        <f t="shared" si="46"/>
        <v>3810</v>
      </c>
      <c r="Q60" s="42">
        <f t="shared" si="47"/>
        <v>4085</v>
      </c>
      <c r="R60" s="104" t="str">
        <f t="shared" si="48"/>
        <v/>
      </c>
    </row>
    <row r="61" spans="2:18" s="38" customFormat="1" x14ac:dyDescent="0.25">
      <c r="B61" s="18" t="s">
        <v>172</v>
      </c>
      <c r="C61" s="23" t="s">
        <v>11</v>
      </c>
      <c r="D61" s="46" t="str">
        <f t="shared" si="7"/>
        <v>UNIVERSIDAD SAN FRANCISCO DE QUITO</v>
      </c>
      <c r="E61" s="46" t="str">
        <f t="shared" si="8"/>
        <v>Ecuador</v>
      </c>
      <c r="F61" s="22" t="s">
        <v>381</v>
      </c>
      <c r="G61" s="85" t="s">
        <v>210</v>
      </c>
      <c r="H61" s="86">
        <v>1</v>
      </c>
      <c r="I61" s="22" t="s">
        <v>387</v>
      </c>
      <c r="J61" s="18" t="s">
        <v>150</v>
      </c>
      <c r="K61" s="86">
        <v>90</v>
      </c>
      <c r="L61" s="105"/>
      <c r="M61" s="106"/>
      <c r="N61" s="41">
        <f t="shared" si="44"/>
        <v>0</v>
      </c>
      <c r="O61" s="41">
        <f t="shared" si="45"/>
        <v>275</v>
      </c>
      <c r="P61" s="41">
        <f t="shared" si="46"/>
        <v>3810</v>
      </c>
      <c r="Q61" s="42">
        <f t="shared" si="47"/>
        <v>4085</v>
      </c>
      <c r="R61" s="104" t="str">
        <f t="shared" si="48"/>
        <v/>
      </c>
    </row>
    <row r="62" spans="2:18" s="38" customFormat="1" ht="36" x14ac:dyDescent="0.25">
      <c r="B62" s="18" t="s">
        <v>172</v>
      </c>
      <c r="C62" s="23" t="s">
        <v>12</v>
      </c>
      <c r="D62" s="46" t="str">
        <f t="shared" si="7"/>
        <v>UNIVERSIDADDE INVESTIGACIONDE TECNOLOGIA EXPERIMENTAL YACHAY</v>
      </c>
      <c r="E62" s="46" t="str">
        <f t="shared" si="8"/>
        <v>Ecuador</v>
      </c>
      <c r="F62" s="22" t="s">
        <v>385</v>
      </c>
      <c r="G62" s="85" t="s">
        <v>210</v>
      </c>
      <c r="H62" s="86">
        <v>1</v>
      </c>
      <c r="I62" s="22" t="s">
        <v>382</v>
      </c>
      <c r="J62" s="18" t="s">
        <v>150</v>
      </c>
      <c r="K62" s="86">
        <v>90</v>
      </c>
      <c r="L62" s="105"/>
      <c r="M62" s="106"/>
      <c r="N62" s="41">
        <f t="shared" si="44"/>
        <v>0</v>
      </c>
      <c r="O62" s="41">
        <f t="shared" si="45"/>
        <v>275</v>
      </c>
      <c r="P62" s="41">
        <f t="shared" si="46"/>
        <v>3810</v>
      </c>
      <c r="Q62" s="42">
        <f t="shared" si="47"/>
        <v>4085</v>
      </c>
      <c r="R62" s="104" t="str">
        <f t="shared" si="48"/>
        <v/>
      </c>
    </row>
    <row r="63" spans="2:18" s="38" customFormat="1" ht="36" x14ac:dyDescent="0.25">
      <c r="B63" s="18" t="s">
        <v>172</v>
      </c>
      <c r="C63" s="23" t="s">
        <v>12</v>
      </c>
      <c r="D63" s="46" t="str">
        <f t="shared" si="7"/>
        <v>UNIVERSIDADDE INVESTIGACIONDE TECNOLOGIA EXPERIMENTAL YACHAY</v>
      </c>
      <c r="E63" s="46" t="str">
        <f t="shared" si="8"/>
        <v>Ecuador</v>
      </c>
      <c r="F63" s="22" t="s">
        <v>385</v>
      </c>
      <c r="G63" s="85" t="s">
        <v>210</v>
      </c>
      <c r="H63" s="86">
        <v>1</v>
      </c>
      <c r="I63" s="22" t="s">
        <v>387</v>
      </c>
      <c r="J63" s="18" t="s">
        <v>150</v>
      </c>
      <c r="K63" s="86">
        <v>90</v>
      </c>
      <c r="L63" s="105"/>
      <c r="M63" s="106"/>
      <c r="N63" s="41">
        <f t="shared" si="44"/>
        <v>0</v>
      </c>
      <c r="O63" s="41">
        <f t="shared" si="45"/>
        <v>275</v>
      </c>
      <c r="P63" s="41">
        <f t="shared" si="46"/>
        <v>3810</v>
      </c>
      <c r="Q63" s="42">
        <f t="shared" si="47"/>
        <v>4085</v>
      </c>
      <c r="R63" s="104" t="str">
        <f t="shared" si="48"/>
        <v/>
      </c>
    </row>
    <row r="64" spans="2:18" s="38" customFormat="1" ht="36" x14ac:dyDescent="0.25">
      <c r="B64" s="18" t="s">
        <v>172</v>
      </c>
      <c r="C64" s="23" t="s">
        <v>12</v>
      </c>
      <c r="D64" s="46" t="str">
        <f t="shared" si="7"/>
        <v>UNIVERSIDADDE INVESTIGACIONDE TECNOLOGIA EXPERIMENTAL YACHAY</v>
      </c>
      <c r="E64" s="46" t="str">
        <f t="shared" si="8"/>
        <v>Ecuador</v>
      </c>
      <c r="F64" s="22" t="s">
        <v>385</v>
      </c>
      <c r="G64" s="85" t="s">
        <v>210</v>
      </c>
      <c r="H64" s="86">
        <v>1</v>
      </c>
      <c r="I64" s="22" t="s">
        <v>384</v>
      </c>
      <c r="J64" s="18" t="s">
        <v>150</v>
      </c>
      <c r="K64" s="86">
        <v>90</v>
      </c>
      <c r="L64" s="105"/>
      <c r="M64" s="106"/>
      <c r="N64" s="41">
        <f t="shared" si="44"/>
        <v>0</v>
      </c>
      <c r="O64" s="41">
        <f t="shared" si="45"/>
        <v>275</v>
      </c>
      <c r="P64" s="41">
        <f t="shared" si="46"/>
        <v>3810</v>
      </c>
      <c r="Q64" s="42">
        <f t="shared" si="47"/>
        <v>4085</v>
      </c>
      <c r="R64" s="104" t="str">
        <f t="shared" si="48"/>
        <v/>
      </c>
    </row>
    <row r="65" spans="2:18" s="38" customFormat="1" ht="36" x14ac:dyDescent="0.25">
      <c r="B65" s="18" t="s">
        <v>172</v>
      </c>
      <c r="C65" s="23" t="s">
        <v>12</v>
      </c>
      <c r="D65" s="46" t="str">
        <f t="shared" si="7"/>
        <v>UNIVERSIDADDE INVESTIGACIONDE TECNOLOGIA EXPERIMENTAL YACHAY</v>
      </c>
      <c r="E65" s="46" t="str">
        <f t="shared" si="8"/>
        <v>Ecuador</v>
      </c>
      <c r="F65" s="22" t="s">
        <v>385</v>
      </c>
      <c r="G65" s="85" t="s">
        <v>210</v>
      </c>
      <c r="H65" s="86">
        <v>1</v>
      </c>
      <c r="I65" s="22" t="s">
        <v>382</v>
      </c>
      <c r="J65" s="18" t="s">
        <v>150</v>
      </c>
      <c r="K65" s="86">
        <v>90</v>
      </c>
      <c r="L65" s="105"/>
      <c r="M65" s="106"/>
      <c r="N65" s="41">
        <f t="shared" si="44"/>
        <v>0</v>
      </c>
      <c r="O65" s="41">
        <f t="shared" si="45"/>
        <v>275</v>
      </c>
      <c r="P65" s="41">
        <f t="shared" si="46"/>
        <v>3810</v>
      </c>
      <c r="Q65" s="42">
        <f t="shared" si="47"/>
        <v>4085</v>
      </c>
      <c r="R65" s="104" t="str">
        <f t="shared" si="48"/>
        <v/>
      </c>
    </row>
    <row r="66" spans="2:18" s="38" customFormat="1" ht="36" x14ac:dyDescent="0.25">
      <c r="B66" s="18" t="s">
        <v>172</v>
      </c>
      <c r="C66" s="23" t="s">
        <v>13</v>
      </c>
      <c r="D66" s="46" t="str">
        <f t="shared" si="7"/>
        <v>UNIVERSIDAD NACIONAL MAYOR DE SAN MARCOS</v>
      </c>
      <c r="E66" s="46" t="str">
        <f t="shared" si="8"/>
        <v>Peru</v>
      </c>
      <c r="F66" s="22" t="s">
        <v>382</v>
      </c>
      <c r="G66" s="85" t="s">
        <v>210</v>
      </c>
      <c r="H66" s="86">
        <v>1</v>
      </c>
      <c r="I66" s="22" t="s">
        <v>387</v>
      </c>
      <c r="J66" s="18" t="s">
        <v>150</v>
      </c>
      <c r="K66" s="86">
        <v>90</v>
      </c>
      <c r="L66" s="105"/>
      <c r="M66" s="106"/>
      <c r="N66" s="41">
        <f t="shared" si="44"/>
        <v>0</v>
      </c>
      <c r="O66" s="41">
        <f t="shared" si="45"/>
        <v>275</v>
      </c>
      <c r="P66" s="41">
        <f t="shared" si="46"/>
        <v>3810</v>
      </c>
      <c r="Q66" s="42">
        <f t="shared" si="47"/>
        <v>4085</v>
      </c>
      <c r="R66" s="104" t="str">
        <f t="shared" si="48"/>
        <v/>
      </c>
    </row>
    <row r="67" spans="2:18" s="38" customFormat="1" ht="36" x14ac:dyDescent="0.25">
      <c r="B67" s="18" t="s">
        <v>172</v>
      </c>
      <c r="C67" s="23" t="s">
        <v>13</v>
      </c>
      <c r="D67" s="46" t="str">
        <f t="shared" si="7"/>
        <v>UNIVERSIDAD NACIONAL MAYOR DE SAN MARCOS</v>
      </c>
      <c r="E67" s="46" t="str">
        <f t="shared" si="8"/>
        <v>Peru</v>
      </c>
      <c r="F67" s="22" t="s">
        <v>382</v>
      </c>
      <c r="G67" s="85" t="s">
        <v>210</v>
      </c>
      <c r="H67" s="86">
        <v>1</v>
      </c>
      <c r="I67" s="22" t="s">
        <v>381</v>
      </c>
      <c r="J67" s="18" t="s">
        <v>150</v>
      </c>
      <c r="K67" s="86">
        <v>90</v>
      </c>
      <c r="L67" s="105"/>
      <c r="M67" s="106"/>
      <c r="N67" s="41">
        <f t="shared" si="44"/>
        <v>0</v>
      </c>
      <c r="O67" s="41">
        <f t="shared" si="45"/>
        <v>275</v>
      </c>
      <c r="P67" s="41">
        <f t="shared" si="46"/>
        <v>3810</v>
      </c>
      <c r="Q67" s="42">
        <f t="shared" si="47"/>
        <v>4085</v>
      </c>
      <c r="R67" s="104" t="str">
        <f t="shared" si="48"/>
        <v/>
      </c>
    </row>
    <row r="68" spans="2:18" s="38" customFormat="1" ht="36" x14ac:dyDescent="0.25">
      <c r="B68" s="18" t="s">
        <v>172</v>
      </c>
      <c r="C68" s="23" t="s">
        <v>13</v>
      </c>
      <c r="D68" s="46" t="str">
        <f t="shared" si="7"/>
        <v>UNIVERSIDAD NACIONAL MAYOR DE SAN MARCOS</v>
      </c>
      <c r="E68" s="46" t="str">
        <f t="shared" si="8"/>
        <v>Peru</v>
      </c>
      <c r="F68" s="22" t="s">
        <v>382</v>
      </c>
      <c r="G68" s="85" t="s">
        <v>210</v>
      </c>
      <c r="H68" s="86">
        <v>1</v>
      </c>
      <c r="I68" s="22" t="s">
        <v>385</v>
      </c>
      <c r="J68" s="18" t="s">
        <v>150</v>
      </c>
      <c r="K68" s="86">
        <v>90</v>
      </c>
      <c r="L68" s="105"/>
      <c r="M68" s="106"/>
      <c r="N68" s="41">
        <f t="shared" si="44"/>
        <v>0</v>
      </c>
      <c r="O68" s="41">
        <f t="shared" si="45"/>
        <v>275</v>
      </c>
      <c r="P68" s="41">
        <f t="shared" si="46"/>
        <v>3810</v>
      </c>
      <c r="Q68" s="42">
        <f t="shared" si="47"/>
        <v>4085</v>
      </c>
      <c r="R68" s="104" t="str">
        <f t="shared" si="48"/>
        <v/>
      </c>
    </row>
    <row r="69" spans="2:18" s="38" customFormat="1" ht="36" x14ac:dyDescent="0.25">
      <c r="B69" s="18" t="s">
        <v>172</v>
      </c>
      <c r="C69" s="23" t="s">
        <v>13</v>
      </c>
      <c r="D69" s="46" t="str">
        <f t="shared" si="7"/>
        <v>UNIVERSIDAD NACIONAL MAYOR DE SAN MARCOS</v>
      </c>
      <c r="E69" s="46" t="str">
        <f t="shared" si="8"/>
        <v>Peru</v>
      </c>
      <c r="F69" s="22" t="s">
        <v>382</v>
      </c>
      <c r="G69" s="85" t="s">
        <v>210</v>
      </c>
      <c r="H69" s="86">
        <v>1</v>
      </c>
      <c r="I69" s="22" t="s">
        <v>384</v>
      </c>
      <c r="J69" s="18" t="s">
        <v>151</v>
      </c>
      <c r="K69" s="86">
        <v>90</v>
      </c>
      <c r="L69" s="105"/>
      <c r="M69" s="106"/>
      <c r="N69" s="41">
        <f t="shared" si="44"/>
        <v>0</v>
      </c>
      <c r="O69" s="41">
        <f t="shared" si="45"/>
        <v>360</v>
      </c>
      <c r="P69" s="41">
        <f t="shared" si="46"/>
        <v>3810</v>
      </c>
      <c r="Q69" s="42">
        <f t="shared" si="47"/>
        <v>4170</v>
      </c>
      <c r="R69" s="104" t="str">
        <f t="shared" si="48"/>
        <v/>
      </c>
    </row>
    <row r="70" spans="2:18" s="38" customFormat="1" x14ac:dyDescent="0.25">
      <c r="B70" s="18" t="s">
        <v>172</v>
      </c>
      <c r="C70" s="23" t="s">
        <v>14</v>
      </c>
      <c r="D70" s="46" t="str">
        <f t="shared" si="7"/>
        <v xml:space="preserve">Universidad Nacional de Ingenieria </v>
      </c>
      <c r="E70" s="46" t="str">
        <f t="shared" si="8"/>
        <v>Peru</v>
      </c>
      <c r="F70" s="22" t="s">
        <v>382</v>
      </c>
      <c r="G70" s="85" t="s">
        <v>210</v>
      </c>
      <c r="H70" s="86">
        <v>1</v>
      </c>
      <c r="I70" s="22" t="s">
        <v>385</v>
      </c>
      <c r="J70" s="18" t="s">
        <v>150</v>
      </c>
      <c r="K70" s="86">
        <v>90</v>
      </c>
      <c r="L70" s="105"/>
      <c r="M70" s="106"/>
      <c r="N70" s="41">
        <f t="shared" si="44"/>
        <v>0</v>
      </c>
      <c r="O70" s="41">
        <f t="shared" si="45"/>
        <v>275</v>
      </c>
      <c r="P70" s="41">
        <f t="shared" si="46"/>
        <v>3810</v>
      </c>
      <c r="Q70" s="42">
        <f t="shared" si="47"/>
        <v>4085</v>
      </c>
      <c r="R70" s="104" t="str">
        <f t="shared" si="48"/>
        <v/>
      </c>
    </row>
    <row r="71" spans="2:18" s="38" customFormat="1" x14ac:dyDescent="0.25">
      <c r="B71" s="18" t="s">
        <v>172</v>
      </c>
      <c r="C71" s="23" t="s">
        <v>14</v>
      </c>
      <c r="D71" s="46" t="str">
        <f t="shared" si="7"/>
        <v xml:space="preserve">Universidad Nacional de Ingenieria </v>
      </c>
      <c r="E71" s="46" t="str">
        <f t="shared" si="8"/>
        <v>Peru</v>
      </c>
      <c r="F71" s="22" t="s">
        <v>382</v>
      </c>
      <c r="G71" s="85" t="s">
        <v>210</v>
      </c>
      <c r="H71" s="86">
        <v>1</v>
      </c>
      <c r="I71" s="22" t="s">
        <v>384</v>
      </c>
      <c r="J71" s="18" t="s">
        <v>151</v>
      </c>
      <c r="K71" s="86">
        <v>90</v>
      </c>
      <c r="L71" s="105"/>
      <c r="M71" s="106"/>
      <c r="N71" s="41">
        <f t="shared" si="44"/>
        <v>0</v>
      </c>
      <c r="O71" s="41">
        <f t="shared" si="45"/>
        <v>360</v>
      </c>
      <c r="P71" s="41">
        <f t="shared" si="46"/>
        <v>3810</v>
      </c>
      <c r="Q71" s="42">
        <f t="shared" si="47"/>
        <v>4170</v>
      </c>
      <c r="R71" s="104" t="str">
        <f t="shared" si="48"/>
        <v/>
      </c>
    </row>
    <row r="72" spans="2:18" s="38" customFormat="1" x14ac:dyDescent="0.25">
      <c r="B72" s="18" t="s">
        <v>172</v>
      </c>
      <c r="C72" s="23" t="s">
        <v>14</v>
      </c>
      <c r="D72" s="46" t="str">
        <f t="shared" si="7"/>
        <v xml:space="preserve">Universidad Nacional de Ingenieria </v>
      </c>
      <c r="E72" s="46" t="str">
        <f t="shared" si="8"/>
        <v>Peru</v>
      </c>
      <c r="F72" s="22" t="s">
        <v>382</v>
      </c>
      <c r="G72" s="85" t="s">
        <v>210</v>
      </c>
      <c r="H72" s="86">
        <v>1</v>
      </c>
      <c r="I72" s="22" t="s">
        <v>387</v>
      </c>
      <c r="J72" s="18" t="s">
        <v>150</v>
      </c>
      <c r="K72" s="86">
        <v>90</v>
      </c>
      <c r="L72" s="105"/>
      <c r="M72" s="106"/>
      <c r="N72" s="41">
        <f t="shared" si="44"/>
        <v>0</v>
      </c>
      <c r="O72" s="41">
        <f t="shared" si="45"/>
        <v>275</v>
      </c>
      <c r="P72" s="41">
        <f t="shared" si="46"/>
        <v>3810</v>
      </c>
      <c r="Q72" s="42">
        <f t="shared" si="47"/>
        <v>4085</v>
      </c>
      <c r="R72" s="104" t="str">
        <f t="shared" si="48"/>
        <v/>
      </c>
    </row>
    <row r="73" spans="2:18" s="38" customFormat="1" x14ac:dyDescent="0.25">
      <c r="B73" s="18" t="s">
        <v>172</v>
      </c>
      <c r="C73" s="23" t="s">
        <v>14</v>
      </c>
      <c r="D73" s="46" t="str">
        <f t="shared" si="7"/>
        <v xml:space="preserve">Universidad Nacional de Ingenieria </v>
      </c>
      <c r="E73" s="46" t="str">
        <f t="shared" si="8"/>
        <v>Peru</v>
      </c>
      <c r="F73" s="22" t="s">
        <v>382</v>
      </c>
      <c r="G73" s="85" t="s">
        <v>210</v>
      </c>
      <c r="H73" s="86">
        <v>1</v>
      </c>
      <c r="I73" s="22" t="s">
        <v>381</v>
      </c>
      <c r="J73" s="18" t="s">
        <v>150</v>
      </c>
      <c r="K73" s="86">
        <v>90</v>
      </c>
      <c r="L73" s="105"/>
      <c r="M73" s="106"/>
      <c r="N73" s="41">
        <f t="shared" si="44"/>
        <v>0</v>
      </c>
      <c r="O73" s="41">
        <f t="shared" si="45"/>
        <v>275</v>
      </c>
      <c r="P73" s="41">
        <f t="shared" si="46"/>
        <v>3810</v>
      </c>
      <c r="Q73" s="42">
        <f t="shared" si="47"/>
        <v>4085</v>
      </c>
      <c r="R73" s="104" t="str">
        <f t="shared" si="48"/>
        <v/>
      </c>
    </row>
    <row r="74" spans="2:18" s="38" customFormat="1" x14ac:dyDescent="0.25">
      <c r="B74" s="18" t="s">
        <v>172</v>
      </c>
      <c r="C74" s="23" t="s">
        <v>15</v>
      </c>
      <c r="D74" s="46" t="str">
        <f t="shared" si="7"/>
        <v>UNIVERSIDAD CENTRAL DE VENEZUELA</v>
      </c>
      <c r="E74" s="46" t="str">
        <f t="shared" si="8"/>
        <v>Venezuela</v>
      </c>
      <c r="F74" s="22" t="s">
        <v>383</v>
      </c>
      <c r="G74" s="85" t="s">
        <v>210</v>
      </c>
      <c r="H74" s="86">
        <v>1</v>
      </c>
      <c r="I74" s="22" t="s">
        <v>384</v>
      </c>
      <c r="J74" s="18" t="s">
        <v>150</v>
      </c>
      <c r="K74" s="86">
        <v>90</v>
      </c>
      <c r="L74" s="105"/>
      <c r="M74" s="106"/>
      <c r="N74" s="41">
        <f t="shared" si="44"/>
        <v>0</v>
      </c>
      <c r="O74" s="41">
        <f t="shared" si="45"/>
        <v>275</v>
      </c>
      <c r="P74" s="41">
        <f t="shared" si="46"/>
        <v>3810</v>
      </c>
      <c r="Q74" s="42">
        <f t="shared" si="47"/>
        <v>4085</v>
      </c>
      <c r="R74" s="104" t="str">
        <f t="shared" si="48"/>
        <v/>
      </c>
    </row>
    <row r="75" spans="2:18" s="38" customFormat="1" x14ac:dyDescent="0.25">
      <c r="B75" s="18" t="s">
        <v>172</v>
      </c>
      <c r="C75" s="23" t="s">
        <v>15</v>
      </c>
      <c r="D75" s="46" t="str">
        <f t="shared" si="7"/>
        <v>UNIVERSIDAD CENTRAL DE VENEZUELA</v>
      </c>
      <c r="E75" s="46" t="str">
        <f t="shared" si="8"/>
        <v>Venezuela</v>
      </c>
      <c r="F75" s="22" t="s">
        <v>383</v>
      </c>
      <c r="G75" s="85" t="s">
        <v>210</v>
      </c>
      <c r="H75" s="86">
        <v>1</v>
      </c>
      <c r="I75" s="22" t="s">
        <v>381</v>
      </c>
      <c r="J75" s="18" t="s">
        <v>150</v>
      </c>
      <c r="K75" s="86">
        <v>90</v>
      </c>
      <c r="L75" s="105"/>
      <c r="M75" s="106"/>
      <c r="N75" s="41">
        <f t="shared" si="44"/>
        <v>0</v>
      </c>
      <c r="O75" s="41">
        <f t="shared" si="45"/>
        <v>275</v>
      </c>
      <c r="P75" s="41">
        <f t="shared" si="46"/>
        <v>3810</v>
      </c>
      <c r="Q75" s="42">
        <f t="shared" si="47"/>
        <v>4085</v>
      </c>
      <c r="R75" s="104" t="str">
        <f t="shared" si="48"/>
        <v/>
      </c>
    </row>
    <row r="76" spans="2:18" s="38" customFormat="1" x14ac:dyDescent="0.25">
      <c r="B76" s="18" t="s">
        <v>172</v>
      </c>
      <c r="C76" s="23" t="s">
        <v>15</v>
      </c>
      <c r="D76" s="46" t="str">
        <f t="shared" si="7"/>
        <v>UNIVERSIDAD CENTRAL DE VENEZUELA</v>
      </c>
      <c r="E76" s="46" t="str">
        <f t="shared" si="8"/>
        <v>Venezuela</v>
      </c>
      <c r="F76" s="22" t="s">
        <v>383</v>
      </c>
      <c r="G76" s="85" t="s">
        <v>210</v>
      </c>
      <c r="H76" s="86">
        <v>1</v>
      </c>
      <c r="I76" s="22" t="s">
        <v>382</v>
      </c>
      <c r="J76" s="18" t="s">
        <v>151</v>
      </c>
      <c r="K76" s="86">
        <v>90</v>
      </c>
      <c r="L76" s="105"/>
      <c r="M76" s="106"/>
      <c r="N76" s="41">
        <f t="shared" si="44"/>
        <v>0</v>
      </c>
      <c r="O76" s="41">
        <f t="shared" si="45"/>
        <v>360</v>
      </c>
      <c r="P76" s="41">
        <f t="shared" si="46"/>
        <v>3810</v>
      </c>
      <c r="Q76" s="42">
        <f t="shared" si="47"/>
        <v>4170</v>
      </c>
      <c r="R76" s="104" t="str">
        <f t="shared" si="48"/>
        <v/>
      </c>
    </row>
    <row r="77" spans="2:18" s="38" customFormat="1" x14ac:dyDescent="0.25">
      <c r="B77" s="18" t="s">
        <v>172</v>
      </c>
      <c r="C77" s="23" t="s">
        <v>15</v>
      </c>
      <c r="D77" s="46" t="str">
        <f t="shared" si="7"/>
        <v>UNIVERSIDAD CENTRAL DE VENEZUELA</v>
      </c>
      <c r="E77" s="46" t="str">
        <f t="shared" si="8"/>
        <v>Venezuela</v>
      </c>
      <c r="F77" s="22" t="s">
        <v>383</v>
      </c>
      <c r="G77" s="85" t="s">
        <v>210</v>
      </c>
      <c r="H77" s="86">
        <v>1</v>
      </c>
      <c r="I77" s="22" t="s">
        <v>387</v>
      </c>
      <c r="J77" s="18" t="s">
        <v>150</v>
      </c>
      <c r="K77" s="86">
        <v>90</v>
      </c>
      <c r="L77" s="105"/>
      <c r="M77" s="106"/>
      <c r="N77" s="41">
        <f t="shared" si="44"/>
        <v>0</v>
      </c>
      <c r="O77" s="41">
        <f t="shared" si="45"/>
        <v>275</v>
      </c>
      <c r="P77" s="41">
        <f t="shared" si="46"/>
        <v>3810</v>
      </c>
      <c r="Q77" s="42">
        <f t="shared" si="47"/>
        <v>4085</v>
      </c>
      <c r="R77" s="104" t="str">
        <f t="shared" si="48"/>
        <v/>
      </c>
    </row>
    <row r="78" spans="2:18" s="38" customFormat="1" x14ac:dyDescent="0.25">
      <c r="B78" s="18" t="s">
        <v>172</v>
      </c>
      <c r="C78" s="23" t="s">
        <v>16</v>
      </c>
      <c r="D78" s="46" t="str">
        <f t="shared" si="7"/>
        <v>UNIVERSIDAD SIMON BOLIVAR</v>
      </c>
      <c r="E78" s="46" t="str">
        <f t="shared" si="8"/>
        <v>Venezuela</v>
      </c>
      <c r="F78" s="22" t="s">
        <v>383</v>
      </c>
      <c r="G78" s="85" t="s">
        <v>210</v>
      </c>
      <c r="H78" s="86">
        <v>1</v>
      </c>
      <c r="I78" s="22" t="s">
        <v>387</v>
      </c>
      <c r="J78" s="18" t="s">
        <v>150</v>
      </c>
      <c r="K78" s="86">
        <v>90</v>
      </c>
      <c r="L78" s="105"/>
      <c r="M78" s="106"/>
      <c r="N78" s="41">
        <f t="shared" si="44"/>
        <v>0</v>
      </c>
      <c r="O78" s="41">
        <f t="shared" si="45"/>
        <v>275</v>
      </c>
      <c r="P78" s="41">
        <f t="shared" si="46"/>
        <v>3810</v>
      </c>
      <c r="Q78" s="42">
        <f t="shared" si="47"/>
        <v>4085</v>
      </c>
      <c r="R78" s="104" t="str">
        <f t="shared" si="48"/>
        <v/>
      </c>
    </row>
    <row r="79" spans="2:18" s="38" customFormat="1" x14ac:dyDescent="0.25">
      <c r="B79" s="18" t="s">
        <v>172</v>
      </c>
      <c r="C79" s="23" t="s">
        <v>16</v>
      </c>
      <c r="D79" s="46" t="str">
        <f t="shared" ref="D79:D141" si="49">IFERROR(IF(VLOOKUP(C79,PartnerN°Ref,2,FALSE)=0,"",VLOOKUP(C79,PartnerN°Ref,2,FALSE)),"")</f>
        <v>UNIVERSIDAD SIMON BOLIVAR</v>
      </c>
      <c r="E79" s="46" t="str">
        <f t="shared" ref="E79:E141" si="50">IFERROR(IF(OR(VLOOKUP(C79,PartnerN°Ref,4,FALSE)="Country not found",VLOOKUP(C79,PartnerN°Ref,3,FALSE)=0),"",VLOOKUP(C79,PartnerN°Ref,3,FALSE)),"")</f>
        <v>Venezuela</v>
      </c>
      <c r="F79" s="22" t="s">
        <v>383</v>
      </c>
      <c r="G79" s="85" t="s">
        <v>210</v>
      </c>
      <c r="H79" s="86">
        <v>1</v>
      </c>
      <c r="I79" s="22" t="s">
        <v>385</v>
      </c>
      <c r="J79" s="18" t="s">
        <v>150</v>
      </c>
      <c r="K79" s="86">
        <v>90</v>
      </c>
      <c r="L79" s="105"/>
      <c r="M79" s="106"/>
      <c r="N79" s="41">
        <f t="shared" si="44"/>
        <v>0</v>
      </c>
      <c r="O79" s="41">
        <f t="shared" si="45"/>
        <v>275</v>
      </c>
      <c r="P79" s="41">
        <f t="shared" si="46"/>
        <v>3810</v>
      </c>
      <c r="Q79" s="42">
        <f t="shared" si="47"/>
        <v>4085</v>
      </c>
      <c r="R79" s="104" t="str">
        <f t="shared" si="48"/>
        <v/>
      </c>
    </row>
    <row r="80" spans="2:18" s="38" customFormat="1" x14ac:dyDescent="0.25">
      <c r="B80" s="18" t="s">
        <v>172</v>
      </c>
      <c r="C80" s="23" t="s">
        <v>16</v>
      </c>
      <c r="D80" s="46" t="str">
        <f t="shared" si="49"/>
        <v>UNIVERSIDAD SIMON BOLIVAR</v>
      </c>
      <c r="E80" s="46" t="str">
        <f t="shared" si="50"/>
        <v>Venezuela</v>
      </c>
      <c r="F80" s="22" t="s">
        <v>383</v>
      </c>
      <c r="G80" s="85" t="s">
        <v>210</v>
      </c>
      <c r="H80" s="86">
        <v>1</v>
      </c>
      <c r="I80" s="22" t="s">
        <v>381</v>
      </c>
      <c r="J80" s="18" t="s">
        <v>150</v>
      </c>
      <c r="K80" s="86">
        <v>90</v>
      </c>
      <c r="L80" s="105"/>
      <c r="M80" s="106"/>
      <c r="N80" s="41">
        <f t="shared" si="44"/>
        <v>0</v>
      </c>
      <c r="O80" s="41">
        <f t="shared" si="45"/>
        <v>275</v>
      </c>
      <c r="P80" s="41">
        <f t="shared" si="46"/>
        <v>3810</v>
      </c>
      <c r="Q80" s="42">
        <f t="shared" si="47"/>
        <v>4085</v>
      </c>
      <c r="R80" s="104" t="str">
        <f t="shared" si="48"/>
        <v/>
      </c>
    </row>
    <row r="81" spans="2:18" s="38" customFormat="1" x14ac:dyDescent="0.25">
      <c r="B81" s="18" t="s">
        <v>172</v>
      </c>
      <c r="C81" s="23" t="s">
        <v>16</v>
      </c>
      <c r="D81" s="46" t="str">
        <f t="shared" si="49"/>
        <v>UNIVERSIDAD SIMON BOLIVAR</v>
      </c>
      <c r="E81" s="46" t="str">
        <f t="shared" si="50"/>
        <v>Venezuela</v>
      </c>
      <c r="F81" s="22" t="s">
        <v>383</v>
      </c>
      <c r="G81" s="85" t="s">
        <v>210</v>
      </c>
      <c r="H81" s="86">
        <v>1</v>
      </c>
      <c r="I81" s="22" t="s">
        <v>384</v>
      </c>
      <c r="J81" s="18" t="s">
        <v>150</v>
      </c>
      <c r="K81" s="86">
        <v>90</v>
      </c>
      <c r="L81" s="105"/>
      <c r="M81" s="106"/>
      <c r="N81" s="41">
        <f t="shared" si="44"/>
        <v>0</v>
      </c>
      <c r="O81" s="41">
        <f t="shared" si="45"/>
        <v>275</v>
      </c>
      <c r="P81" s="41">
        <f t="shared" si="46"/>
        <v>3810</v>
      </c>
      <c r="Q81" s="42">
        <f t="shared" si="47"/>
        <v>4085</v>
      </c>
      <c r="R81" s="104" t="str">
        <f t="shared" si="48"/>
        <v/>
      </c>
    </row>
    <row r="82" spans="2:18" s="38" customFormat="1" x14ac:dyDescent="0.25">
      <c r="B82" s="18" t="s">
        <v>172</v>
      </c>
      <c r="C82" s="23" t="s">
        <v>9</v>
      </c>
      <c r="D82" s="46" t="str">
        <f t="shared" si="49"/>
        <v>Universidad Industrial de Santander</v>
      </c>
      <c r="E82" s="46" t="str">
        <f t="shared" si="50"/>
        <v>Colombia</v>
      </c>
      <c r="F82" s="22" t="s">
        <v>384</v>
      </c>
      <c r="G82" s="85" t="s">
        <v>210</v>
      </c>
      <c r="H82" s="86">
        <v>3</v>
      </c>
      <c r="I82" s="22" t="s">
        <v>381</v>
      </c>
      <c r="J82" s="18" t="s">
        <v>150</v>
      </c>
      <c r="K82" s="86">
        <v>6</v>
      </c>
      <c r="L82" s="105"/>
      <c r="M82" s="106"/>
      <c r="N82" s="41">
        <f t="shared" si="44"/>
        <v>0</v>
      </c>
      <c r="O82" s="41">
        <f t="shared" si="45"/>
        <v>825</v>
      </c>
      <c r="P82" s="41">
        <f t="shared" si="46"/>
        <v>990</v>
      </c>
      <c r="Q82" s="42">
        <f t="shared" si="47"/>
        <v>1815</v>
      </c>
      <c r="R82" s="104" t="str">
        <f t="shared" si="48"/>
        <v/>
      </c>
    </row>
    <row r="83" spans="2:18" s="38" customFormat="1" x14ac:dyDescent="0.25">
      <c r="B83" s="18" t="s">
        <v>172</v>
      </c>
      <c r="C83" s="23" t="s">
        <v>10</v>
      </c>
      <c r="D83" s="46" t="str">
        <f t="shared" si="49"/>
        <v>UNIVERSIDAD ANTONIO NARINO</v>
      </c>
      <c r="E83" s="46" t="str">
        <f t="shared" si="50"/>
        <v>Colombia</v>
      </c>
      <c r="F83" s="22" t="s">
        <v>387</v>
      </c>
      <c r="G83" s="85" t="s">
        <v>210</v>
      </c>
      <c r="H83" s="86">
        <v>3</v>
      </c>
      <c r="I83" s="22" t="s">
        <v>381</v>
      </c>
      <c r="J83" s="18" t="s">
        <v>150</v>
      </c>
      <c r="K83" s="86">
        <v>6</v>
      </c>
      <c r="L83" s="105"/>
      <c r="M83" s="106"/>
      <c r="N83" s="41">
        <f t="shared" si="44"/>
        <v>0</v>
      </c>
      <c r="O83" s="41">
        <f t="shared" si="45"/>
        <v>825</v>
      </c>
      <c r="P83" s="41">
        <f t="shared" si="46"/>
        <v>990</v>
      </c>
      <c r="Q83" s="42">
        <f t="shared" si="47"/>
        <v>1815</v>
      </c>
      <c r="R83" s="104" t="str">
        <f t="shared" si="48"/>
        <v/>
      </c>
    </row>
    <row r="84" spans="2:18" s="38" customFormat="1" ht="36" x14ac:dyDescent="0.25">
      <c r="B84" s="18" t="s">
        <v>172</v>
      </c>
      <c r="C84" s="23" t="s">
        <v>12</v>
      </c>
      <c r="D84" s="46" t="str">
        <f t="shared" si="49"/>
        <v>UNIVERSIDADDE INVESTIGACIONDE TECNOLOGIA EXPERIMENTAL YACHAY</v>
      </c>
      <c r="E84" s="46" t="str">
        <f t="shared" si="50"/>
        <v>Ecuador</v>
      </c>
      <c r="F84" s="22" t="s">
        <v>385</v>
      </c>
      <c r="G84" s="85" t="s">
        <v>210</v>
      </c>
      <c r="H84" s="86">
        <v>3</v>
      </c>
      <c r="I84" s="22" t="s">
        <v>381</v>
      </c>
      <c r="J84" s="18" t="s">
        <v>333</v>
      </c>
      <c r="K84" s="86">
        <v>6</v>
      </c>
      <c r="L84" s="105"/>
      <c r="M84" s="106"/>
      <c r="N84" s="41">
        <f t="shared" si="44"/>
        <v>0</v>
      </c>
      <c r="O84" s="41">
        <f t="shared" si="45"/>
        <v>60</v>
      </c>
      <c r="P84" s="41">
        <f t="shared" si="46"/>
        <v>990</v>
      </c>
      <c r="Q84" s="42">
        <f t="shared" si="47"/>
        <v>1050</v>
      </c>
      <c r="R84" s="104" t="str">
        <f t="shared" si="48"/>
        <v/>
      </c>
    </row>
    <row r="85" spans="2:18" s="38" customFormat="1" ht="36" x14ac:dyDescent="0.25">
      <c r="B85" s="18" t="s">
        <v>172</v>
      </c>
      <c r="C85" s="23" t="s">
        <v>13</v>
      </c>
      <c r="D85" s="46" t="str">
        <f t="shared" si="49"/>
        <v>UNIVERSIDAD NACIONAL MAYOR DE SAN MARCOS</v>
      </c>
      <c r="E85" s="46" t="str">
        <f t="shared" si="50"/>
        <v>Peru</v>
      </c>
      <c r="F85" s="22" t="s">
        <v>382</v>
      </c>
      <c r="G85" s="85" t="s">
        <v>210</v>
      </c>
      <c r="H85" s="86">
        <v>3</v>
      </c>
      <c r="I85" s="22" t="s">
        <v>381</v>
      </c>
      <c r="J85" s="18" t="s">
        <v>150</v>
      </c>
      <c r="K85" s="86">
        <v>6</v>
      </c>
      <c r="L85" s="105"/>
      <c r="M85" s="106"/>
      <c r="N85" s="41">
        <f t="shared" si="44"/>
        <v>0</v>
      </c>
      <c r="O85" s="41">
        <f t="shared" si="45"/>
        <v>825</v>
      </c>
      <c r="P85" s="41">
        <f t="shared" si="46"/>
        <v>990</v>
      </c>
      <c r="Q85" s="42">
        <f t="shared" si="47"/>
        <v>1815</v>
      </c>
      <c r="R85" s="104" t="str">
        <f t="shared" si="48"/>
        <v/>
      </c>
    </row>
    <row r="86" spans="2:18" s="38" customFormat="1" x14ac:dyDescent="0.25">
      <c r="B86" s="18" t="s">
        <v>172</v>
      </c>
      <c r="C86" s="23" t="s">
        <v>14</v>
      </c>
      <c r="D86" s="46" t="str">
        <f t="shared" si="49"/>
        <v xml:space="preserve">Universidad Nacional de Ingenieria </v>
      </c>
      <c r="E86" s="46" t="str">
        <f t="shared" si="50"/>
        <v>Peru</v>
      </c>
      <c r="F86" s="22" t="s">
        <v>382</v>
      </c>
      <c r="G86" s="85" t="s">
        <v>210</v>
      </c>
      <c r="H86" s="86">
        <v>3</v>
      </c>
      <c r="I86" s="22" t="s">
        <v>381</v>
      </c>
      <c r="J86" s="18" t="s">
        <v>332</v>
      </c>
      <c r="K86" s="86">
        <v>6</v>
      </c>
      <c r="L86" s="105"/>
      <c r="M86" s="106"/>
      <c r="N86" s="41">
        <f t="shared" si="44"/>
        <v>0</v>
      </c>
      <c r="O86" s="41">
        <f t="shared" si="45"/>
        <v>0</v>
      </c>
      <c r="P86" s="41">
        <f t="shared" si="46"/>
        <v>990</v>
      </c>
      <c r="Q86" s="42">
        <f t="shared" si="47"/>
        <v>990</v>
      </c>
      <c r="R86" s="104" t="str">
        <f t="shared" si="48"/>
        <v/>
      </c>
    </row>
    <row r="87" spans="2:18" s="38" customFormat="1" x14ac:dyDescent="0.25">
      <c r="B87" s="18" t="s">
        <v>172</v>
      </c>
      <c r="C87" s="23" t="s">
        <v>15</v>
      </c>
      <c r="D87" s="46" t="str">
        <f t="shared" si="49"/>
        <v>UNIVERSIDAD CENTRAL DE VENEZUELA</v>
      </c>
      <c r="E87" s="46" t="str">
        <f t="shared" si="50"/>
        <v>Venezuela</v>
      </c>
      <c r="F87" s="22" t="s">
        <v>383</v>
      </c>
      <c r="G87" s="85" t="s">
        <v>210</v>
      </c>
      <c r="H87" s="86">
        <v>3</v>
      </c>
      <c r="I87" s="22" t="s">
        <v>381</v>
      </c>
      <c r="J87" s="18" t="s">
        <v>150</v>
      </c>
      <c r="K87" s="86">
        <v>6</v>
      </c>
      <c r="L87" s="105"/>
      <c r="M87" s="106"/>
      <c r="N87" s="41">
        <f t="shared" si="44"/>
        <v>0</v>
      </c>
      <c r="O87" s="41">
        <f t="shared" si="45"/>
        <v>825</v>
      </c>
      <c r="P87" s="41">
        <f t="shared" si="46"/>
        <v>990</v>
      </c>
      <c r="Q87" s="42">
        <f t="shared" si="47"/>
        <v>1815</v>
      </c>
      <c r="R87" s="104" t="str">
        <f t="shared" si="48"/>
        <v/>
      </c>
    </row>
    <row r="88" spans="2:18" s="38" customFormat="1" x14ac:dyDescent="0.25">
      <c r="B88" s="18" t="s">
        <v>172</v>
      </c>
      <c r="C88" s="23" t="s">
        <v>16</v>
      </c>
      <c r="D88" s="46" t="str">
        <f t="shared" si="49"/>
        <v>UNIVERSIDAD SIMON BOLIVAR</v>
      </c>
      <c r="E88" s="46" t="str">
        <f t="shared" si="50"/>
        <v>Venezuela</v>
      </c>
      <c r="F88" s="22" t="s">
        <v>383</v>
      </c>
      <c r="G88" s="85" t="s">
        <v>210</v>
      </c>
      <c r="H88" s="86">
        <v>3</v>
      </c>
      <c r="I88" s="22" t="s">
        <v>381</v>
      </c>
      <c r="J88" s="18" t="s">
        <v>150</v>
      </c>
      <c r="K88" s="86">
        <v>6</v>
      </c>
      <c r="L88" s="105"/>
      <c r="M88" s="106"/>
      <c r="N88" s="41">
        <f t="shared" si="44"/>
        <v>0</v>
      </c>
      <c r="O88" s="41">
        <f t="shared" si="45"/>
        <v>825</v>
      </c>
      <c r="P88" s="41">
        <f>IF(R88="Error",0,IF(AND(G88="Staff",K88&gt;0,K88&lt;15),(120*K88)*H88,IF(AND(G88="Staff",K88&gt;14,K88&lt;61),(1680+((K88-14)*70))*H88,IF(AND(G88="Staff",K88&gt;60,K88&lt;91),(4900+((K88-60)*50))*H88,IF(AND(G88="Student",K88&gt;0,K88&lt;15),(55*K88)*H88,IF(AND(G88="Student",K88&gt;14,K88&lt;91),(770+((K88-14)*40))*H88,0))))))</f>
        <v>990</v>
      </c>
      <c r="Q88" s="42">
        <f t="shared" si="47"/>
        <v>1815</v>
      </c>
      <c r="R88" s="104" t="str">
        <f>IF(OR(COUNTIF(WorkPackage,B88)=0,COUNTIF(PartnerN°,C88)=0,D88="",COUNTIF(CountryALL,E88)=0,F88="",COUNTIF(Category2,G88)=0,ISNUMBER(H88)=FALSE,H88&lt;=0,I88="",COUNTIF(TravelBands,J88)=0,ISNUMBER(K88)=FALSE,OR(K88&lt;0,K88&gt;90),IF(ISNUMBER(H88)=TRUE,H88=INT(H88*1)/1=FALSE),IF(ISNUMBER(K88)=TRUE,K88=INT(K88*1)/1=FALSE),AND(L88&lt;&gt;"",M88=0),AND(L88="",M88&gt;0),ISNUMBER(N88)=FALSE ),"Error","")</f>
        <v/>
      </c>
    </row>
    <row r="89" spans="2:18" s="38" customFormat="1" x14ac:dyDescent="0.25">
      <c r="B89" s="18" t="s">
        <v>172</v>
      </c>
      <c r="C89" s="23" t="s">
        <v>9</v>
      </c>
      <c r="D89" s="46" t="str">
        <f t="shared" si="49"/>
        <v>Universidad Industrial de Santander</v>
      </c>
      <c r="E89" s="46" t="str">
        <f t="shared" si="50"/>
        <v>Colombia</v>
      </c>
      <c r="F89" s="22" t="s">
        <v>385</v>
      </c>
      <c r="G89" s="85" t="s">
        <v>210</v>
      </c>
      <c r="H89" s="86">
        <v>3</v>
      </c>
      <c r="I89" s="22" t="s">
        <v>384</v>
      </c>
      <c r="J89" s="18" t="s">
        <v>150</v>
      </c>
      <c r="K89" s="86">
        <v>6</v>
      </c>
      <c r="L89" s="105"/>
      <c r="M89" s="106"/>
      <c r="N89" s="41">
        <f t="shared" si="44"/>
        <v>0</v>
      </c>
      <c r="O89" s="41">
        <f t="shared" si="45"/>
        <v>825</v>
      </c>
      <c r="P89" s="41">
        <f t="shared" si="46"/>
        <v>990</v>
      </c>
      <c r="Q89" s="42">
        <f t="shared" si="47"/>
        <v>1815</v>
      </c>
      <c r="R89" s="104" t="str">
        <f t="shared" si="48"/>
        <v/>
      </c>
    </row>
    <row r="90" spans="2:18" s="38" customFormat="1" x14ac:dyDescent="0.25">
      <c r="B90" s="18" t="s">
        <v>172</v>
      </c>
      <c r="C90" s="23" t="s">
        <v>10</v>
      </c>
      <c r="D90" s="46" t="str">
        <f t="shared" si="49"/>
        <v>UNIVERSIDAD ANTONIO NARINO</v>
      </c>
      <c r="E90" s="46" t="str">
        <f t="shared" si="50"/>
        <v>Colombia</v>
      </c>
      <c r="F90" s="22" t="s">
        <v>387</v>
      </c>
      <c r="G90" s="85" t="s">
        <v>210</v>
      </c>
      <c r="H90" s="86">
        <v>3</v>
      </c>
      <c r="I90" s="22" t="s">
        <v>384</v>
      </c>
      <c r="J90" s="18" t="s">
        <v>149</v>
      </c>
      <c r="K90" s="86">
        <v>6</v>
      </c>
      <c r="L90" s="105"/>
      <c r="M90" s="106"/>
      <c r="N90" s="41">
        <f t="shared" si="44"/>
        <v>0</v>
      </c>
      <c r="O90" s="41">
        <f t="shared" si="45"/>
        <v>540</v>
      </c>
      <c r="P90" s="41">
        <f t="shared" si="46"/>
        <v>990</v>
      </c>
      <c r="Q90" s="42">
        <f t="shared" si="47"/>
        <v>1530</v>
      </c>
      <c r="R90" s="104" t="str">
        <f t="shared" si="48"/>
        <v/>
      </c>
    </row>
    <row r="91" spans="2:18" s="38" customFormat="1" x14ac:dyDescent="0.25">
      <c r="B91" s="18" t="s">
        <v>172</v>
      </c>
      <c r="C91" s="23" t="s">
        <v>11</v>
      </c>
      <c r="D91" s="46" t="str">
        <f t="shared" si="49"/>
        <v>UNIVERSIDAD SAN FRANCISCO DE QUITO</v>
      </c>
      <c r="E91" s="46" t="str">
        <f t="shared" si="50"/>
        <v>Ecuador</v>
      </c>
      <c r="F91" s="22" t="s">
        <v>381</v>
      </c>
      <c r="G91" s="85" t="s">
        <v>210</v>
      </c>
      <c r="H91" s="86">
        <v>3</v>
      </c>
      <c r="I91" s="22" t="s">
        <v>384</v>
      </c>
      <c r="J91" s="18" t="s">
        <v>150</v>
      </c>
      <c r="K91" s="86">
        <v>6</v>
      </c>
      <c r="L91" s="105"/>
      <c r="M91" s="106"/>
      <c r="N91" s="41">
        <f t="shared" si="44"/>
        <v>0</v>
      </c>
      <c r="O91" s="41">
        <f t="shared" si="45"/>
        <v>825</v>
      </c>
      <c r="P91" s="41">
        <f t="shared" si="46"/>
        <v>990</v>
      </c>
      <c r="Q91" s="42">
        <f t="shared" si="47"/>
        <v>1815</v>
      </c>
      <c r="R91" s="104" t="str">
        <f t="shared" si="48"/>
        <v/>
      </c>
    </row>
    <row r="92" spans="2:18" s="38" customFormat="1" ht="36" x14ac:dyDescent="0.25">
      <c r="B92" s="18" t="s">
        <v>172</v>
      </c>
      <c r="C92" s="23" t="s">
        <v>13</v>
      </c>
      <c r="D92" s="46" t="str">
        <f t="shared" si="49"/>
        <v>UNIVERSIDAD NACIONAL MAYOR DE SAN MARCOS</v>
      </c>
      <c r="E92" s="46" t="str">
        <f t="shared" si="50"/>
        <v>Peru</v>
      </c>
      <c r="F92" s="22" t="s">
        <v>382</v>
      </c>
      <c r="G92" s="85" t="s">
        <v>210</v>
      </c>
      <c r="H92" s="86">
        <v>3</v>
      </c>
      <c r="I92" s="22" t="s">
        <v>384</v>
      </c>
      <c r="J92" s="18" t="s">
        <v>151</v>
      </c>
      <c r="K92" s="86">
        <v>6</v>
      </c>
      <c r="L92" s="105"/>
      <c r="M92" s="106"/>
      <c r="N92" s="41">
        <f t="shared" si="44"/>
        <v>0</v>
      </c>
      <c r="O92" s="41">
        <f t="shared" si="45"/>
        <v>1080</v>
      </c>
      <c r="P92" s="41">
        <f t="shared" si="46"/>
        <v>990</v>
      </c>
      <c r="Q92" s="42">
        <f t="shared" si="47"/>
        <v>2070</v>
      </c>
      <c r="R92" s="104" t="str">
        <f t="shared" si="48"/>
        <v/>
      </c>
    </row>
    <row r="93" spans="2:18" s="38" customFormat="1" x14ac:dyDescent="0.25">
      <c r="B93" s="18" t="s">
        <v>172</v>
      </c>
      <c r="C93" s="23" t="s">
        <v>14</v>
      </c>
      <c r="D93" s="46" t="str">
        <f t="shared" si="49"/>
        <v xml:space="preserve">Universidad Nacional de Ingenieria </v>
      </c>
      <c r="E93" s="46" t="str">
        <f t="shared" si="50"/>
        <v>Peru</v>
      </c>
      <c r="F93" s="22" t="s">
        <v>382</v>
      </c>
      <c r="G93" s="85" t="s">
        <v>210</v>
      </c>
      <c r="H93" s="86">
        <v>3</v>
      </c>
      <c r="I93" s="22" t="s">
        <v>384</v>
      </c>
      <c r="J93" s="18" t="s">
        <v>151</v>
      </c>
      <c r="K93" s="86">
        <v>6</v>
      </c>
      <c r="L93" s="105"/>
      <c r="M93" s="106"/>
      <c r="N93" s="41">
        <f t="shared" si="44"/>
        <v>0</v>
      </c>
      <c r="O93" s="41">
        <f t="shared" si="45"/>
        <v>1080</v>
      </c>
      <c r="P93" s="41">
        <f t="shared" si="46"/>
        <v>990</v>
      </c>
      <c r="Q93" s="42">
        <f t="shared" si="47"/>
        <v>2070</v>
      </c>
      <c r="R93" s="104" t="str">
        <f t="shared" si="48"/>
        <v/>
      </c>
    </row>
    <row r="94" spans="2:18" s="38" customFormat="1" x14ac:dyDescent="0.25">
      <c r="B94" s="18" t="s">
        <v>172</v>
      </c>
      <c r="C94" s="23" t="s">
        <v>15</v>
      </c>
      <c r="D94" s="46" t="str">
        <f t="shared" si="49"/>
        <v>UNIVERSIDAD CENTRAL DE VENEZUELA</v>
      </c>
      <c r="E94" s="46" t="str">
        <f t="shared" si="50"/>
        <v>Venezuela</v>
      </c>
      <c r="F94" s="22" t="s">
        <v>383</v>
      </c>
      <c r="G94" s="85" t="s">
        <v>210</v>
      </c>
      <c r="H94" s="86">
        <v>3</v>
      </c>
      <c r="I94" s="22" t="s">
        <v>384</v>
      </c>
      <c r="J94" s="18" t="s">
        <v>150</v>
      </c>
      <c r="K94" s="86">
        <v>6</v>
      </c>
      <c r="L94" s="105"/>
      <c r="M94" s="106"/>
      <c r="N94" s="41">
        <f t="shared" si="44"/>
        <v>0</v>
      </c>
      <c r="O94" s="41">
        <f t="shared" si="45"/>
        <v>825</v>
      </c>
      <c r="P94" s="41">
        <f t="shared" si="46"/>
        <v>990</v>
      </c>
      <c r="Q94" s="42">
        <f t="shared" si="47"/>
        <v>1815</v>
      </c>
      <c r="R94" s="104" t="str">
        <f t="shared" si="48"/>
        <v/>
      </c>
    </row>
    <row r="95" spans="2:18" s="38" customFormat="1" x14ac:dyDescent="0.25">
      <c r="B95" s="18" t="s">
        <v>172</v>
      </c>
      <c r="C95" s="23" t="s">
        <v>16</v>
      </c>
      <c r="D95" s="46" t="str">
        <f t="shared" si="49"/>
        <v>UNIVERSIDAD SIMON BOLIVAR</v>
      </c>
      <c r="E95" s="46" t="str">
        <f t="shared" si="50"/>
        <v>Venezuela</v>
      </c>
      <c r="F95" s="22" t="s">
        <v>383</v>
      </c>
      <c r="G95" s="85" t="s">
        <v>210</v>
      </c>
      <c r="H95" s="86">
        <v>3</v>
      </c>
      <c r="I95" s="22" t="s">
        <v>384</v>
      </c>
      <c r="J95" s="18" t="s">
        <v>150</v>
      </c>
      <c r="K95" s="86">
        <v>6</v>
      </c>
      <c r="L95" s="105"/>
      <c r="M95" s="106"/>
      <c r="N95" s="41">
        <f t="shared" si="44"/>
        <v>0</v>
      </c>
      <c r="O95" s="41">
        <f t="shared" si="45"/>
        <v>825</v>
      </c>
      <c r="P95" s="41">
        <f>IF(R95="Error",0,IF(AND(G95="Staff",K95&gt;0,K95&lt;15),(120*K95)*H95,IF(AND(G95="Staff",K95&gt;14,K95&lt;61),(1680+((K95-14)*70))*H95,IF(AND(G95="Staff",K95&gt;60,K95&lt;91),(4900+((K95-60)*50))*H95,IF(AND(G95="Student",K95&gt;0,K95&lt;15),(55*K95)*H95,IF(AND(G95="Student",K95&gt;14,K95&lt;91),(770+((K95-14)*40))*H95,0))))))</f>
        <v>990</v>
      </c>
      <c r="Q95" s="42">
        <f t="shared" si="47"/>
        <v>1815</v>
      </c>
      <c r="R95" s="104" t="str">
        <f>IF(OR(COUNTIF(WorkPackage,B95)=0,COUNTIF(PartnerN°,C95)=0,D95="",COUNTIF(CountryALL,E95)=0,F95="",COUNTIF(Category2,G95)=0,ISNUMBER(H95)=FALSE,H95&lt;=0,I95="",COUNTIF(TravelBands,J95)=0,ISNUMBER(K95)=FALSE,OR(K95&lt;0,K95&gt;90),IF(ISNUMBER(H95)=TRUE,H95=INT(H95*1)/1=FALSE),IF(ISNUMBER(K95)=TRUE,K95=INT(K95*1)/1=FALSE),AND(L95&lt;&gt;"",M95=0),AND(L95="",M95&gt;0),ISNUMBER(N95)=FALSE ),"Error","")</f>
        <v/>
      </c>
    </row>
    <row r="96" spans="2:18" s="38" customFormat="1" x14ac:dyDescent="0.25">
      <c r="B96" s="18" t="s">
        <v>320</v>
      </c>
      <c r="C96" s="23" t="s">
        <v>8</v>
      </c>
      <c r="D96" s="46" t="str">
        <f t="shared" si="49"/>
        <v>Université Paris Diderot</v>
      </c>
      <c r="E96" s="46" t="str">
        <f t="shared" si="50"/>
        <v>France</v>
      </c>
      <c r="F96" s="22" t="s">
        <v>386</v>
      </c>
      <c r="G96" s="85" t="s">
        <v>208</v>
      </c>
      <c r="H96" s="86">
        <v>2</v>
      </c>
      <c r="I96" s="22" t="s">
        <v>382</v>
      </c>
      <c r="J96" s="18" t="s">
        <v>152</v>
      </c>
      <c r="K96" s="86">
        <v>5</v>
      </c>
      <c r="L96" s="105"/>
      <c r="M96" s="106"/>
      <c r="N96" s="41">
        <f t="shared" si="44"/>
        <v>0</v>
      </c>
      <c r="O96" s="41">
        <f t="shared" si="45"/>
        <v>3000</v>
      </c>
      <c r="P96" s="41">
        <f t="shared" si="46"/>
        <v>1200</v>
      </c>
      <c r="Q96" s="42">
        <f t="shared" si="47"/>
        <v>4200</v>
      </c>
      <c r="R96" s="104" t="str">
        <f t="shared" si="48"/>
        <v/>
      </c>
    </row>
    <row r="97" spans="2:18" s="38" customFormat="1" x14ac:dyDescent="0.25">
      <c r="B97" s="18" t="s">
        <v>320</v>
      </c>
      <c r="C97" s="23" t="s">
        <v>9</v>
      </c>
      <c r="D97" s="46" t="str">
        <f t="shared" si="49"/>
        <v>Universidad Industrial de Santander</v>
      </c>
      <c r="E97" s="46" t="str">
        <f t="shared" si="50"/>
        <v>Colombia</v>
      </c>
      <c r="F97" s="22" t="s">
        <v>384</v>
      </c>
      <c r="G97" s="85" t="s">
        <v>208</v>
      </c>
      <c r="H97" s="86">
        <v>1</v>
      </c>
      <c r="I97" s="22" t="s">
        <v>382</v>
      </c>
      <c r="J97" s="18" t="s">
        <v>151</v>
      </c>
      <c r="K97" s="86">
        <v>5</v>
      </c>
      <c r="L97" s="105"/>
      <c r="M97" s="106"/>
      <c r="N97" s="41">
        <f t="shared" si="44"/>
        <v>0</v>
      </c>
      <c r="O97" s="41">
        <f t="shared" si="45"/>
        <v>360</v>
      </c>
      <c r="P97" s="41">
        <f t="shared" si="46"/>
        <v>600</v>
      </c>
      <c r="Q97" s="42">
        <f t="shared" si="47"/>
        <v>960</v>
      </c>
      <c r="R97" s="104" t="str">
        <f t="shared" si="48"/>
        <v/>
      </c>
    </row>
    <row r="98" spans="2:18" s="38" customFormat="1" x14ac:dyDescent="0.25">
      <c r="B98" s="18" t="s">
        <v>320</v>
      </c>
      <c r="C98" s="23" t="s">
        <v>10</v>
      </c>
      <c r="D98" s="46" t="str">
        <f t="shared" si="49"/>
        <v>UNIVERSIDAD ANTONIO NARINO</v>
      </c>
      <c r="E98" s="46" t="str">
        <f t="shared" si="50"/>
        <v>Colombia</v>
      </c>
      <c r="F98" s="22" t="s">
        <v>387</v>
      </c>
      <c r="G98" s="85" t="s">
        <v>208</v>
      </c>
      <c r="H98" s="86">
        <v>1</v>
      </c>
      <c r="I98" s="22" t="s">
        <v>382</v>
      </c>
      <c r="J98" s="18" t="s">
        <v>150</v>
      </c>
      <c r="K98" s="86">
        <v>5</v>
      </c>
      <c r="L98" s="105"/>
      <c r="M98" s="106"/>
      <c r="N98" s="41">
        <f t="shared" si="44"/>
        <v>0</v>
      </c>
      <c r="O98" s="41">
        <f t="shared" si="45"/>
        <v>275</v>
      </c>
      <c r="P98" s="41">
        <f t="shared" si="46"/>
        <v>600</v>
      </c>
      <c r="Q98" s="42">
        <f t="shared" si="47"/>
        <v>875</v>
      </c>
      <c r="R98" s="104" t="str">
        <f t="shared" si="48"/>
        <v/>
      </c>
    </row>
    <row r="99" spans="2:18" s="38" customFormat="1" x14ac:dyDescent="0.25">
      <c r="B99" s="18" t="s">
        <v>320</v>
      </c>
      <c r="C99" s="23" t="s">
        <v>11</v>
      </c>
      <c r="D99" s="46" t="str">
        <f t="shared" si="49"/>
        <v>UNIVERSIDAD SAN FRANCISCO DE QUITO</v>
      </c>
      <c r="E99" s="46" t="str">
        <f t="shared" si="50"/>
        <v>Ecuador</v>
      </c>
      <c r="F99" s="22" t="s">
        <v>381</v>
      </c>
      <c r="G99" s="85" t="s">
        <v>208</v>
      </c>
      <c r="H99" s="86">
        <v>1</v>
      </c>
      <c r="I99" s="22" t="s">
        <v>382</v>
      </c>
      <c r="J99" s="18" t="s">
        <v>150</v>
      </c>
      <c r="K99" s="86">
        <v>5</v>
      </c>
      <c r="L99" s="105"/>
      <c r="M99" s="106"/>
      <c r="N99" s="41">
        <f t="shared" si="44"/>
        <v>0</v>
      </c>
      <c r="O99" s="41">
        <f t="shared" si="45"/>
        <v>275</v>
      </c>
      <c r="P99" s="41">
        <f t="shared" si="46"/>
        <v>600</v>
      </c>
      <c r="Q99" s="42">
        <f t="shared" si="47"/>
        <v>875</v>
      </c>
      <c r="R99" s="104" t="str">
        <f t="shared" si="48"/>
        <v/>
      </c>
    </row>
    <row r="100" spans="2:18" s="38" customFormat="1" ht="36" x14ac:dyDescent="0.25">
      <c r="B100" s="18" t="s">
        <v>320</v>
      </c>
      <c r="C100" s="23" t="s">
        <v>12</v>
      </c>
      <c r="D100" s="46" t="str">
        <f t="shared" si="49"/>
        <v>UNIVERSIDADDE INVESTIGACIONDE TECNOLOGIA EXPERIMENTAL YACHAY</v>
      </c>
      <c r="E100" s="46" t="str">
        <f t="shared" si="50"/>
        <v>Ecuador</v>
      </c>
      <c r="F100" s="22" t="s">
        <v>385</v>
      </c>
      <c r="G100" s="85" t="s">
        <v>208</v>
      </c>
      <c r="H100" s="86">
        <v>1</v>
      </c>
      <c r="I100" s="22" t="s">
        <v>382</v>
      </c>
      <c r="J100" s="18" t="s">
        <v>150</v>
      </c>
      <c r="K100" s="86">
        <v>5</v>
      </c>
      <c r="L100" s="105"/>
      <c r="M100" s="106"/>
      <c r="N100" s="41">
        <f t="shared" si="44"/>
        <v>0</v>
      </c>
      <c r="O100" s="41">
        <f t="shared" si="45"/>
        <v>275</v>
      </c>
      <c r="P100" s="41">
        <f t="shared" si="46"/>
        <v>600</v>
      </c>
      <c r="Q100" s="42">
        <f t="shared" si="47"/>
        <v>875</v>
      </c>
      <c r="R100" s="104" t="str">
        <f t="shared" si="48"/>
        <v/>
      </c>
    </row>
    <row r="101" spans="2:18" s="38" customFormat="1" x14ac:dyDescent="0.25">
      <c r="B101" s="18" t="s">
        <v>320</v>
      </c>
      <c r="C101" s="23" t="s">
        <v>15</v>
      </c>
      <c r="D101" s="46" t="str">
        <f t="shared" si="49"/>
        <v>UNIVERSIDAD CENTRAL DE VENEZUELA</v>
      </c>
      <c r="E101" s="46" t="str">
        <f t="shared" si="50"/>
        <v>Venezuela</v>
      </c>
      <c r="F101" s="22" t="s">
        <v>383</v>
      </c>
      <c r="G101" s="85" t="s">
        <v>208</v>
      </c>
      <c r="H101" s="86">
        <v>1</v>
      </c>
      <c r="I101" s="22" t="s">
        <v>382</v>
      </c>
      <c r="J101" s="18" t="s">
        <v>151</v>
      </c>
      <c r="K101" s="86">
        <v>5</v>
      </c>
      <c r="L101" s="105"/>
      <c r="M101" s="106"/>
      <c r="N101" s="41">
        <f t="shared" si="44"/>
        <v>0</v>
      </c>
      <c r="O101" s="41">
        <f t="shared" si="45"/>
        <v>360</v>
      </c>
      <c r="P101" s="41">
        <f t="shared" si="46"/>
        <v>600</v>
      </c>
      <c r="Q101" s="42">
        <f t="shared" si="47"/>
        <v>960</v>
      </c>
      <c r="R101" s="104" t="str">
        <f t="shared" si="48"/>
        <v/>
      </c>
    </row>
    <row r="102" spans="2:18" s="38" customFormat="1" x14ac:dyDescent="0.25">
      <c r="B102" s="18" t="s">
        <v>320</v>
      </c>
      <c r="C102" s="23" t="s">
        <v>16</v>
      </c>
      <c r="D102" s="46" t="str">
        <f t="shared" si="49"/>
        <v>UNIVERSIDAD SIMON BOLIVAR</v>
      </c>
      <c r="E102" s="46" t="str">
        <f t="shared" si="50"/>
        <v>Venezuela</v>
      </c>
      <c r="F102" s="22" t="s">
        <v>383</v>
      </c>
      <c r="G102" s="85" t="s">
        <v>208</v>
      </c>
      <c r="H102" s="86">
        <v>1</v>
      </c>
      <c r="I102" s="22" t="s">
        <v>382</v>
      </c>
      <c r="J102" s="18" t="s">
        <v>151</v>
      </c>
      <c r="K102" s="86">
        <v>5</v>
      </c>
      <c r="L102" s="105"/>
      <c r="M102" s="106"/>
      <c r="N102" s="41">
        <f t="shared" si="44"/>
        <v>0</v>
      </c>
      <c r="O102" s="41">
        <f t="shared" si="45"/>
        <v>360</v>
      </c>
      <c r="P102" s="41">
        <f t="shared" si="46"/>
        <v>600</v>
      </c>
      <c r="Q102" s="42">
        <f t="shared" si="47"/>
        <v>960</v>
      </c>
      <c r="R102" s="104" t="str">
        <f t="shared" si="48"/>
        <v/>
      </c>
    </row>
    <row r="103" spans="2:18" s="38" customFormat="1" x14ac:dyDescent="0.25">
      <c r="B103" s="18" t="s">
        <v>320</v>
      </c>
      <c r="C103" s="23" t="s">
        <v>17</v>
      </c>
      <c r="D103" s="46" t="str">
        <f t="shared" si="49"/>
        <v>UNIVERSITE PAUL SABATIER TOULOUSE III</v>
      </c>
      <c r="E103" s="46" t="str">
        <f t="shared" si="50"/>
        <v>France</v>
      </c>
      <c r="F103" s="22" t="s">
        <v>392</v>
      </c>
      <c r="G103" s="85" t="s">
        <v>208</v>
      </c>
      <c r="H103" s="86">
        <v>1</v>
      </c>
      <c r="I103" s="22" t="s">
        <v>382</v>
      </c>
      <c r="J103" s="18" t="s">
        <v>152</v>
      </c>
      <c r="K103" s="86">
        <v>5</v>
      </c>
      <c r="L103" s="105"/>
      <c r="M103" s="106"/>
      <c r="N103" s="41">
        <f t="shared" si="44"/>
        <v>0</v>
      </c>
      <c r="O103" s="41">
        <f t="shared" si="45"/>
        <v>1500</v>
      </c>
      <c r="P103" s="41">
        <f t="shared" si="46"/>
        <v>600</v>
      </c>
      <c r="Q103" s="42">
        <f t="shared" si="47"/>
        <v>2100</v>
      </c>
      <c r="R103" s="104" t="str">
        <f t="shared" si="48"/>
        <v/>
      </c>
    </row>
    <row r="104" spans="2:18" s="38" customFormat="1" x14ac:dyDescent="0.25">
      <c r="B104" s="18" t="s">
        <v>320</v>
      </c>
      <c r="C104" s="23" t="s">
        <v>18</v>
      </c>
      <c r="D104" s="46" t="str">
        <f t="shared" si="49"/>
        <v>TECHNISCHE UNIVERSITAET DRESDEN</v>
      </c>
      <c r="E104" s="46" t="str">
        <f t="shared" si="50"/>
        <v>Germany</v>
      </c>
      <c r="F104" s="22" t="s">
        <v>390</v>
      </c>
      <c r="G104" s="85" t="s">
        <v>208</v>
      </c>
      <c r="H104" s="86">
        <v>1</v>
      </c>
      <c r="I104" s="22" t="s">
        <v>382</v>
      </c>
      <c r="J104" s="18" t="s">
        <v>152</v>
      </c>
      <c r="K104" s="86">
        <v>5</v>
      </c>
      <c r="L104" s="105"/>
      <c r="M104" s="106"/>
      <c r="N104" s="41">
        <f t="shared" si="44"/>
        <v>0</v>
      </c>
      <c r="O104" s="41">
        <f t="shared" si="45"/>
        <v>1500</v>
      </c>
      <c r="P104" s="41">
        <f t="shared" si="46"/>
        <v>600</v>
      </c>
      <c r="Q104" s="42">
        <f t="shared" si="47"/>
        <v>2100</v>
      </c>
      <c r="R104" s="104" t="str">
        <f t="shared" si="48"/>
        <v/>
      </c>
    </row>
    <row r="105" spans="2:18" s="38" customFormat="1" x14ac:dyDescent="0.25">
      <c r="B105" s="18" t="s">
        <v>320</v>
      </c>
      <c r="C105" s="23" t="s">
        <v>8</v>
      </c>
      <c r="D105" s="46" t="str">
        <f t="shared" si="49"/>
        <v>Université Paris Diderot</v>
      </c>
      <c r="E105" s="46" t="str">
        <f t="shared" si="50"/>
        <v>France</v>
      </c>
      <c r="F105" s="22" t="s">
        <v>386</v>
      </c>
      <c r="G105" s="85" t="s">
        <v>208</v>
      </c>
      <c r="H105" s="86">
        <v>2</v>
      </c>
      <c r="I105" s="22" t="s">
        <v>381</v>
      </c>
      <c r="J105" s="18" t="s">
        <v>152</v>
      </c>
      <c r="K105" s="86">
        <v>9</v>
      </c>
      <c r="L105" s="105"/>
      <c r="M105" s="106"/>
      <c r="N105" s="41">
        <f t="shared" si="44"/>
        <v>0</v>
      </c>
      <c r="O105" s="41">
        <f t="shared" si="45"/>
        <v>3000</v>
      </c>
      <c r="P105" s="41">
        <f t="shared" si="46"/>
        <v>2160</v>
      </c>
      <c r="Q105" s="42">
        <f t="shared" si="47"/>
        <v>5160</v>
      </c>
      <c r="R105" s="104" t="str">
        <f t="shared" si="48"/>
        <v/>
      </c>
    </row>
    <row r="106" spans="2:18" s="38" customFormat="1" x14ac:dyDescent="0.25">
      <c r="B106" s="18" t="s">
        <v>320</v>
      </c>
      <c r="C106" s="23" t="s">
        <v>9</v>
      </c>
      <c r="D106" s="46" t="str">
        <f t="shared" si="49"/>
        <v>Universidad Industrial de Santander</v>
      </c>
      <c r="E106" s="46" t="str">
        <f t="shared" si="50"/>
        <v>Colombia</v>
      </c>
      <c r="F106" s="22" t="s">
        <v>384</v>
      </c>
      <c r="G106" s="85" t="s">
        <v>208</v>
      </c>
      <c r="H106" s="86">
        <v>1</v>
      </c>
      <c r="I106" s="22" t="s">
        <v>381</v>
      </c>
      <c r="J106" s="18" t="s">
        <v>150</v>
      </c>
      <c r="K106" s="86">
        <v>9</v>
      </c>
      <c r="L106" s="105"/>
      <c r="M106" s="106"/>
      <c r="N106" s="41">
        <f t="shared" si="44"/>
        <v>0</v>
      </c>
      <c r="O106" s="41">
        <f t="shared" si="45"/>
        <v>275</v>
      </c>
      <c r="P106" s="41">
        <f t="shared" si="46"/>
        <v>1080</v>
      </c>
      <c r="Q106" s="42">
        <f t="shared" si="47"/>
        <v>1355</v>
      </c>
      <c r="R106" s="104" t="str">
        <f t="shared" si="48"/>
        <v/>
      </c>
    </row>
    <row r="107" spans="2:18" s="38" customFormat="1" x14ac:dyDescent="0.25">
      <c r="B107" s="18" t="s">
        <v>320</v>
      </c>
      <c r="C107" s="23" t="s">
        <v>10</v>
      </c>
      <c r="D107" s="46" t="str">
        <f t="shared" si="49"/>
        <v>UNIVERSIDAD ANTONIO NARINO</v>
      </c>
      <c r="E107" s="46" t="str">
        <f t="shared" si="50"/>
        <v>Colombia</v>
      </c>
      <c r="F107" s="22" t="s">
        <v>387</v>
      </c>
      <c r="G107" s="85" t="s">
        <v>208</v>
      </c>
      <c r="H107" s="86">
        <v>1</v>
      </c>
      <c r="I107" s="22" t="s">
        <v>381</v>
      </c>
      <c r="J107" s="18" t="s">
        <v>150</v>
      </c>
      <c r="K107" s="86">
        <v>9</v>
      </c>
      <c r="L107" s="105"/>
      <c r="M107" s="106"/>
      <c r="N107" s="41">
        <f t="shared" si="44"/>
        <v>0</v>
      </c>
      <c r="O107" s="41">
        <f t="shared" si="45"/>
        <v>275</v>
      </c>
      <c r="P107" s="41">
        <f t="shared" si="46"/>
        <v>1080</v>
      </c>
      <c r="Q107" s="42">
        <f t="shared" si="47"/>
        <v>1355</v>
      </c>
      <c r="R107" s="104" t="str">
        <f t="shared" si="48"/>
        <v/>
      </c>
    </row>
    <row r="108" spans="2:18" s="38" customFormat="1" ht="36" x14ac:dyDescent="0.25">
      <c r="B108" s="18" t="s">
        <v>320</v>
      </c>
      <c r="C108" s="23" t="s">
        <v>12</v>
      </c>
      <c r="D108" s="46" t="str">
        <f t="shared" si="49"/>
        <v>UNIVERSIDADDE INVESTIGACIONDE TECNOLOGIA EXPERIMENTAL YACHAY</v>
      </c>
      <c r="E108" s="46" t="str">
        <f t="shared" si="50"/>
        <v>Ecuador</v>
      </c>
      <c r="F108" s="22" t="s">
        <v>385</v>
      </c>
      <c r="G108" s="85" t="s">
        <v>208</v>
      </c>
      <c r="H108" s="86">
        <v>1</v>
      </c>
      <c r="I108" s="22" t="s">
        <v>381</v>
      </c>
      <c r="J108" s="18" t="s">
        <v>333</v>
      </c>
      <c r="K108" s="86">
        <v>9</v>
      </c>
      <c r="L108" s="105"/>
      <c r="M108" s="106"/>
      <c r="N108" s="41">
        <f t="shared" si="44"/>
        <v>0</v>
      </c>
      <c r="O108" s="41">
        <f t="shared" si="45"/>
        <v>20</v>
      </c>
      <c r="P108" s="41">
        <f t="shared" si="46"/>
        <v>1080</v>
      </c>
      <c r="Q108" s="42">
        <f t="shared" si="47"/>
        <v>1100</v>
      </c>
      <c r="R108" s="104" t="str">
        <f t="shared" si="48"/>
        <v/>
      </c>
    </row>
    <row r="109" spans="2:18" s="38" customFormat="1" ht="36" x14ac:dyDescent="0.25">
      <c r="B109" s="18" t="s">
        <v>320</v>
      </c>
      <c r="C109" s="23" t="s">
        <v>13</v>
      </c>
      <c r="D109" s="46" t="str">
        <f t="shared" si="49"/>
        <v>UNIVERSIDAD NACIONAL MAYOR DE SAN MARCOS</v>
      </c>
      <c r="E109" s="46" t="str">
        <f t="shared" si="50"/>
        <v>Peru</v>
      </c>
      <c r="F109" s="22" t="s">
        <v>382</v>
      </c>
      <c r="G109" s="85" t="s">
        <v>210</v>
      </c>
      <c r="H109" s="86">
        <v>1</v>
      </c>
      <c r="I109" s="22" t="s">
        <v>381</v>
      </c>
      <c r="J109" s="18" t="s">
        <v>150</v>
      </c>
      <c r="K109" s="86">
        <v>9</v>
      </c>
      <c r="L109" s="105"/>
      <c r="M109" s="106"/>
      <c r="N109" s="41">
        <f t="shared" ref="N109:N144" si="51">IF(AND(M109&gt;0,L109&lt;&gt;""),IF(M109&gt;(ROUND( (ROUND(ROUND(H109,0)*(VLOOKUP(J109,TravelCosts,2,FALSE)),2))/0.65,2)),ROUND(M109*0.8,2),"covered by unit cost"),0)</f>
        <v>0</v>
      </c>
      <c r="O109" s="41">
        <f t="shared" ref="O109:O144" si="52">IF(OR(AND(L109&lt;&gt;"",M109&gt;0,ISNUMBER(N109)),R109="Error"),0,ROUND(ROUND(H109,0)*(VLOOKUP(J109,TravelCosts,2,FALSE)),2))</f>
        <v>275</v>
      </c>
      <c r="P109" s="41">
        <f t="shared" ref="P109:P144" si="53">IF(R109="Error",0,IF(AND(G109="Staff",K109&gt;0,K109&lt;15),(120*K109)*H109,IF(AND(G109="Staff",K109&gt;14,K109&lt;61),(1680+((K109-14)*70))*H109,IF(AND(G109="Staff",K109&gt;60,K109&lt;91),(4900+((K109-60)*50))*H109,IF(AND(G109="Student",K109&gt;0,K109&lt;15),(55*K109)*H109,IF(AND(G109="Student",K109&gt;14,K109&lt;91),(770+((K109-14)*40))*H109,0))))))</f>
        <v>495</v>
      </c>
      <c r="Q109" s="42">
        <f t="shared" ref="Q109:Q144" si="54">IFERROR(N109+O109+P109,O109+P109)</f>
        <v>770</v>
      </c>
      <c r="R109" s="104" t="str">
        <f t="shared" ref="R109:R144" si="55">IF(OR(COUNTIF(WorkPackage,B109)=0,COUNTIF(PartnerN°,C109)=0,D109="",COUNTIF(CountryALL,E109)=0,F109="",COUNTIF(Category2,G109)=0,ISNUMBER(H109)=FALSE,H109&lt;=0,I109="",COUNTIF(TravelBands,J109)=0,ISNUMBER(K109)=FALSE,OR(K109&lt;0,K109&gt;90),IF(ISNUMBER(H109)=TRUE,H109=INT(H109*1)/1=FALSE),IF(ISNUMBER(K109)=TRUE,K109=INT(K109*1)/1=FALSE),AND(L109&lt;&gt;"",M109=0),AND(L109="",M109&gt;0),ISNUMBER(N109)=FALSE ),"Error","")</f>
        <v/>
      </c>
    </row>
    <row r="110" spans="2:18" s="38" customFormat="1" x14ac:dyDescent="0.25">
      <c r="B110" s="18" t="s">
        <v>320</v>
      </c>
      <c r="C110" s="23" t="s">
        <v>14</v>
      </c>
      <c r="D110" s="46" t="str">
        <f t="shared" si="49"/>
        <v xml:space="preserve">Universidad Nacional de Ingenieria </v>
      </c>
      <c r="E110" s="46" t="str">
        <f t="shared" si="50"/>
        <v>Peru</v>
      </c>
      <c r="F110" s="22" t="s">
        <v>382</v>
      </c>
      <c r="G110" s="85" t="s">
        <v>208</v>
      </c>
      <c r="H110" s="86">
        <v>1</v>
      </c>
      <c r="I110" s="22" t="s">
        <v>381</v>
      </c>
      <c r="J110" s="18" t="s">
        <v>150</v>
      </c>
      <c r="K110" s="86">
        <v>9</v>
      </c>
      <c r="L110" s="105"/>
      <c r="M110" s="106"/>
      <c r="N110" s="41">
        <f t="shared" si="51"/>
        <v>0</v>
      </c>
      <c r="O110" s="41">
        <f t="shared" si="52"/>
        <v>275</v>
      </c>
      <c r="P110" s="41">
        <f t="shared" si="53"/>
        <v>1080</v>
      </c>
      <c r="Q110" s="42">
        <f t="shared" si="54"/>
        <v>1355</v>
      </c>
      <c r="R110" s="104" t="str">
        <f t="shared" si="55"/>
        <v/>
      </c>
    </row>
    <row r="111" spans="2:18" s="38" customFormat="1" x14ac:dyDescent="0.25">
      <c r="B111" s="18" t="s">
        <v>320</v>
      </c>
      <c r="C111" s="23" t="s">
        <v>15</v>
      </c>
      <c r="D111" s="46" t="str">
        <f t="shared" si="49"/>
        <v>UNIVERSIDAD CENTRAL DE VENEZUELA</v>
      </c>
      <c r="E111" s="46" t="str">
        <f t="shared" si="50"/>
        <v>Venezuela</v>
      </c>
      <c r="F111" s="22" t="s">
        <v>383</v>
      </c>
      <c r="G111" s="85" t="s">
        <v>208</v>
      </c>
      <c r="H111" s="86">
        <v>1</v>
      </c>
      <c r="I111" s="22" t="s">
        <v>381</v>
      </c>
      <c r="J111" s="18" t="s">
        <v>150</v>
      </c>
      <c r="K111" s="86">
        <v>9</v>
      </c>
      <c r="L111" s="105"/>
      <c r="M111" s="106"/>
      <c r="N111" s="41">
        <f t="shared" si="51"/>
        <v>0</v>
      </c>
      <c r="O111" s="41">
        <f t="shared" si="52"/>
        <v>275</v>
      </c>
      <c r="P111" s="41">
        <f t="shared" si="53"/>
        <v>1080</v>
      </c>
      <c r="Q111" s="42">
        <f t="shared" si="54"/>
        <v>1355</v>
      </c>
      <c r="R111" s="104" t="str">
        <f t="shared" si="55"/>
        <v/>
      </c>
    </row>
    <row r="112" spans="2:18" s="38" customFormat="1" x14ac:dyDescent="0.25">
      <c r="B112" s="18" t="s">
        <v>320</v>
      </c>
      <c r="C112" s="23" t="s">
        <v>16</v>
      </c>
      <c r="D112" s="46" t="str">
        <f t="shared" si="49"/>
        <v>UNIVERSIDAD SIMON BOLIVAR</v>
      </c>
      <c r="E112" s="46" t="str">
        <f t="shared" si="50"/>
        <v>Venezuela</v>
      </c>
      <c r="F112" s="22" t="s">
        <v>383</v>
      </c>
      <c r="G112" s="85" t="s">
        <v>208</v>
      </c>
      <c r="H112" s="86">
        <v>1</v>
      </c>
      <c r="I112" s="22" t="s">
        <v>381</v>
      </c>
      <c r="J112" s="18" t="s">
        <v>150</v>
      </c>
      <c r="K112" s="86">
        <v>9</v>
      </c>
      <c r="L112" s="105"/>
      <c r="M112" s="106"/>
      <c r="N112" s="41">
        <f t="shared" si="51"/>
        <v>0</v>
      </c>
      <c r="O112" s="41">
        <f t="shared" si="52"/>
        <v>275</v>
      </c>
      <c r="P112" s="41">
        <f t="shared" si="53"/>
        <v>1080</v>
      </c>
      <c r="Q112" s="42">
        <f t="shared" si="54"/>
        <v>1355</v>
      </c>
      <c r="R112" s="104" t="str">
        <f t="shared" si="55"/>
        <v/>
      </c>
    </row>
    <row r="113" spans="2:18" s="38" customFormat="1" x14ac:dyDescent="0.25">
      <c r="B113" s="18" t="s">
        <v>320</v>
      </c>
      <c r="C113" s="23" t="s">
        <v>17</v>
      </c>
      <c r="D113" s="46" t="str">
        <f t="shared" si="49"/>
        <v>UNIVERSITE PAUL SABATIER TOULOUSE III</v>
      </c>
      <c r="E113" s="46" t="str">
        <f t="shared" si="50"/>
        <v>France</v>
      </c>
      <c r="F113" s="22" t="s">
        <v>392</v>
      </c>
      <c r="G113" s="85" t="s">
        <v>208</v>
      </c>
      <c r="H113" s="86">
        <v>1</v>
      </c>
      <c r="I113" s="22" t="s">
        <v>381</v>
      </c>
      <c r="J113" s="18" t="s">
        <v>152</v>
      </c>
      <c r="K113" s="86">
        <v>9</v>
      </c>
      <c r="L113" s="105"/>
      <c r="M113" s="106"/>
      <c r="N113" s="41">
        <f t="shared" si="51"/>
        <v>0</v>
      </c>
      <c r="O113" s="41">
        <f t="shared" si="52"/>
        <v>1500</v>
      </c>
      <c r="P113" s="41">
        <f t="shared" si="53"/>
        <v>1080</v>
      </c>
      <c r="Q113" s="42">
        <f t="shared" si="54"/>
        <v>2580</v>
      </c>
      <c r="R113" s="104" t="str">
        <f t="shared" si="55"/>
        <v/>
      </c>
    </row>
    <row r="114" spans="2:18" s="38" customFormat="1" x14ac:dyDescent="0.25">
      <c r="B114" s="18" t="s">
        <v>320</v>
      </c>
      <c r="C114" s="23" t="s">
        <v>18</v>
      </c>
      <c r="D114" s="46" t="str">
        <f t="shared" si="49"/>
        <v>TECHNISCHE UNIVERSITAET DRESDEN</v>
      </c>
      <c r="E114" s="46" t="str">
        <f t="shared" si="50"/>
        <v>Germany</v>
      </c>
      <c r="F114" s="22" t="s">
        <v>390</v>
      </c>
      <c r="G114" s="85" t="s">
        <v>208</v>
      </c>
      <c r="H114" s="86">
        <v>1</v>
      </c>
      <c r="I114" s="22" t="s">
        <v>381</v>
      </c>
      <c r="J114" s="18" t="s">
        <v>152</v>
      </c>
      <c r="K114" s="86">
        <v>9</v>
      </c>
      <c r="L114" s="105"/>
      <c r="M114" s="106"/>
      <c r="N114" s="41">
        <f t="shared" si="51"/>
        <v>0</v>
      </c>
      <c r="O114" s="41">
        <f t="shared" si="52"/>
        <v>1500</v>
      </c>
      <c r="P114" s="41">
        <f t="shared" si="53"/>
        <v>1080</v>
      </c>
      <c r="Q114" s="42">
        <f t="shared" si="54"/>
        <v>2580</v>
      </c>
      <c r="R114" s="104" t="str">
        <f t="shared" si="55"/>
        <v/>
      </c>
    </row>
    <row r="115" spans="2:18" s="38" customFormat="1" x14ac:dyDescent="0.25">
      <c r="B115" s="18" t="s">
        <v>320</v>
      </c>
      <c r="C115" s="23" t="s">
        <v>8</v>
      </c>
      <c r="D115" s="46" t="str">
        <f t="shared" si="49"/>
        <v>Université Paris Diderot</v>
      </c>
      <c r="E115" s="46" t="str">
        <f t="shared" si="50"/>
        <v>France</v>
      </c>
      <c r="F115" s="22" t="s">
        <v>386</v>
      </c>
      <c r="G115" s="85" t="s">
        <v>208</v>
      </c>
      <c r="H115" s="86">
        <v>4</v>
      </c>
      <c r="I115" s="22" t="s">
        <v>384</v>
      </c>
      <c r="J115" s="18" t="s">
        <v>152</v>
      </c>
      <c r="K115" s="86">
        <v>9</v>
      </c>
      <c r="L115" s="105"/>
      <c r="M115" s="106"/>
      <c r="N115" s="41">
        <f t="shared" si="51"/>
        <v>0</v>
      </c>
      <c r="O115" s="41">
        <f t="shared" si="52"/>
        <v>6000</v>
      </c>
      <c r="P115" s="41">
        <f t="shared" si="53"/>
        <v>4320</v>
      </c>
      <c r="Q115" s="42">
        <f t="shared" si="54"/>
        <v>10320</v>
      </c>
      <c r="R115" s="104" t="str">
        <f t="shared" si="55"/>
        <v/>
      </c>
    </row>
    <row r="116" spans="2:18" s="38" customFormat="1" x14ac:dyDescent="0.25">
      <c r="B116" s="18" t="s">
        <v>320</v>
      </c>
      <c r="C116" s="23" t="s">
        <v>10</v>
      </c>
      <c r="D116" s="46" t="str">
        <f t="shared" si="49"/>
        <v>UNIVERSIDAD ANTONIO NARINO</v>
      </c>
      <c r="E116" s="46" t="str">
        <f t="shared" si="50"/>
        <v>Colombia</v>
      </c>
      <c r="F116" s="22" t="s">
        <v>387</v>
      </c>
      <c r="G116" s="85" t="s">
        <v>208</v>
      </c>
      <c r="H116" s="86">
        <v>1</v>
      </c>
      <c r="I116" s="22" t="s">
        <v>384</v>
      </c>
      <c r="J116" s="18" t="s">
        <v>149</v>
      </c>
      <c r="K116" s="86">
        <v>9</v>
      </c>
      <c r="L116" s="105"/>
      <c r="M116" s="106"/>
      <c r="N116" s="41">
        <f t="shared" si="51"/>
        <v>0</v>
      </c>
      <c r="O116" s="41">
        <f t="shared" si="52"/>
        <v>180</v>
      </c>
      <c r="P116" s="41">
        <f t="shared" si="53"/>
        <v>1080</v>
      </c>
      <c r="Q116" s="42">
        <f t="shared" si="54"/>
        <v>1260</v>
      </c>
      <c r="R116" s="104" t="str">
        <f t="shared" si="55"/>
        <v/>
      </c>
    </row>
    <row r="117" spans="2:18" s="38" customFormat="1" x14ac:dyDescent="0.25">
      <c r="B117" s="18" t="s">
        <v>320</v>
      </c>
      <c r="C117" s="23" t="s">
        <v>11</v>
      </c>
      <c r="D117" s="46" t="str">
        <f t="shared" si="49"/>
        <v>UNIVERSIDAD SAN FRANCISCO DE QUITO</v>
      </c>
      <c r="E117" s="46" t="str">
        <f t="shared" si="50"/>
        <v>Ecuador</v>
      </c>
      <c r="F117" s="22" t="s">
        <v>381</v>
      </c>
      <c r="G117" s="85" t="s">
        <v>208</v>
      </c>
      <c r="H117" s="86">
        <v>1</v>
      </c>
      <c r="I117" s="22" t="s">
        <v>384</v>
      </c>
      <c r="J117" s="18" t="s">
        <v>150</v>
      </c>
      <c r="K117" s="86">
        <v>9</v>
      </c>
      <c r="L117" s="105"/>
      <c r="M117" s="106"/>
      <c r="N117" s="41">
        <f t="shared" si="51"/>
        <v>0</v>
      </c>
      <c r="O117" s="41">
        <f t="shared" si="52"/>
        <v>275</v>
      </c>
      <c r="P117" s="41">
        <f t="shared" si="53"/>
        <v>1080</v>
      </c>
      <c r="Q117" s="42">
        <f t="shared" si="54"/>
        <v>1355</v>
      </c>
      <c r="R117" s="104" t="str">
        <f t="shared" si="55"/>
        <v/>
      </c>
    </row>
    <row r="118" spans="2:18" s="38" customFormat="1" ht="36" x14ac:dyDescent="0.25">
      <c r="B118" s="18" t="s">
        <v>320</v>
      </c>
      <c r="C118" s="23" t="s">
        <v>12</v>
      </c>
      <c r="D118" s="46" t="str">
        <f t="shared" si="49"/>
        <v>UNIVERSIDADDE INVESTIGACIONDE TECNOLOGIA EXPERIMENTAL YACHAY</v>
      </c>
      <c r="E118" s="46" t="str">
        <f t="shared" si="50"/>
        <v>Ecuador</v>
      </c>
      <c r="F118" s="22" t="s">
        <v>385</v>
      </c>
      <c r="G118" s="85" t="s">
        <v>208</v>
      </c>
      <c r="H118" s="86">
        <v>1</v>
      </c>
      <c r="I118" s="22" t="s">
        <v>384</v>
      </c>
      <c r="J118" s="18" t="s">
        <v>150</v>
      </c>
      <c r="K118" s="86">
        <v>9</v>
      </c>
      <c r="L118" s="105"/>
      <c r="M118" s="106"/>
      <c r="N118" s="41">
        <f t="shared" si="51"/>
        <v>0</v>
      </c>
      <c r="O118" s="41">
        <f t="shared" si="52"/>
        <v>275</v>
      </c>
      <c r="P118" s="41">
        <f t="shared" si="53"/>
        <v>1080</v>
      </c>
      <c r="Q118" s="42">
        <f t="shared" si="54"/>
        <v>1355</v>
      </c>
      <c r="R118" s="104" t="str">
        <f t="shared" si="55"/>
        <v/>
      </c>
    </row>
    <row r="119" spans="2:18" s="38" customFormat="1" ht="36" x14ac:dyDescent="0.25">
      <c r="B119" s="18" t="s">
        <v>320</v>
      </c>
      <c r="C119" s="23" t="s">
        <v>13</v>
      </c>
      <c r="D119" s="46" t="str">
        <f t="shared" si="49"/>
        <v>UNIVERSIDAD NACIONAL MAYOR DE SAN MARCOS</v>
      </c>
      <c r="E119" s="46" t="str">
        <f t="shared" si="50"/>
        <v>Peru</v>
      </c>
      <c r="F119" s="22" t="s">
        <v>382</v>
      </c>
      <c r="G119" s="85" t="s">
        <v>208</v>
      </c>
      <c r="H119" s="86">
        <v>2</v>
      </c>
      <c r="I119" s="22" t="s">
        <v>384</v>
      </c>
      <c r="J119" s="18" t="s">
        <v>151</v>
      </c>
      <c r="K119" s="86">
        <v>9</v>
      </c>
      <c r="L119" s="105"/>
      <c r="M119" s="106"/>
      <c r="N119" s="41">
        <f t="shared" si="51"/>
        <v>0</v>
      </c>
      <c r="O119" s="41">
        <f t="shared" si="52"/>
        <v>720</v>
      </c>
      <c r="P119" s="41">
        <f t="shared" si="53"/>
        <v>2160</v>
      </c>
      <c r="Q119" s="42">
        <f t="shared" si="54"/>
        <v>2880</v>
      </c>
      <c r="R119" s="104" t="str">
        <f t="shared" si="55"/>
        <v/>
      </c>
    </row>
    <row r="120" spans="2:18" s="38" customFormat="1" x14ac:dyDescent="0.25">
      <c r="B120" s="18" t="s">
        <v>320</v>
      </c>
      <c r="C120" s="23" t="s">
        <v>14</v>
      </c>
      <c r="D120" s="46" t="str">
        <f t="shared" si="49"/>
        <v xml:space="preserve">Universidad Nacional de Ingenieria </v>
      </c>
      <c r="E120" s="46" t="str">
        <f t="shared" si="50"/>
        <v>Peru</v>
      </c>
      <c r="F120" s="22" t="s">
        <v>382</v>
      </c>
      <c r="G120" s="85" t="s">
        <v>208</v>
      </c>
      <c r="H120" s="86">
        <v>1</v>
      </c>
      <c r="I120" s="22" t="s">
        <v>384</v>
      </c>
      <c r="J120" s="18" t="s">
        <v>151</v>
      </c>
      <c r="K120" s="86">
        <v>9</v>
      </c>
      <c r="L120" s="105"/>
      <c r="M120" s="106"/>
      <c r="N120" s="41">
        <f t="shared" si="51"/>
        <v>0</v>
      </c>
      <c r="O120" s="41">
        <f t="shared" si="52"/>
        <v>360</v>
      </c>
      <c r="P120" s="41">
        <f t="shared" si="53"/>
        <v>1080</v>
      </c>
      <c r="Q120" s="42">
        <f t="shared" si="54"/>
        <v>1440</v>
      </c>
      <c r="R120" s="104" t="str">
        <f t="shared" si="55"/>
        <v/>
      </c>
    </row>
    <row r="121" spans="2:18" s="38" customFormat="1" x14ac:dyDescent="0.25">
      <c r="B121" s="18" t="s">
        <v>320</v>
      </c>
      <c r="C121" s="23" t="s">
        <v>15</v>
      </c>
      <c r="D121" s="46" t="str">
        <f t="shared" si="49"/>
        <v>UNIVERSIDAD CENTRAL DE VENEZUELA</v>
      </c>
      <c r="E121" s="46" t="str">
        <f t="shared" si="50"/>
        <v>Venezuela</v>
      </c>
      <c r="F121" s="22" t="s">
        <v>383</v>
      </c>
      <c r="G121" s="85" t="s">
        <v>208</v>
      </c>
      <c r="H121" s="86">
        <v>1</v>
      </c>
      <c r="I121" s="22" t="s">
        <v>384</v>
      </c>
      <c r="J121" s="18" t="s">
        <v>150</v>
      </c>
      <c r="K121" s="86">
        <v>9</v>
      </c>
      <c r="L121" s="105"/>
      <c r="M121" s="106"/>
      <c r="N121" s="41">
        <f t="shared" si="51"/>
        <v>0</v>
      </c>
      <c r="O121" s="41">
        <f t="shared" si="52"/>
        <v>275</v>
      </c>
      <c r="P121" s="41">
        <f t="shared" si="53"/>
        <v>1080</v>
      </c>
      <c r="Q121" s="42">
        <f t="shared" si="54"/>
        <v>1355</v>
      </c>
      <c r="R121" s="104" t="str">
        <f t="shared" si="55"/>
        <v/>
      </c>
    </row>
    <row r="122" spans="2:18" s="38" customFormat="1" x14ac:dyDescent="0.25">
      <c r="B122" s="18" t="s">
        <v>320</v>
      </c>
      <c r="C122" s="23" t="s">
        <v>16</v>
      </c>
      <c r="D122" s="46" t="str">
        <f t="shared" si="49"/>
        <v>UNIVERSIDAD SIMON BOLIVAR</v>
      </c>
      <c r="E122" s="46" t="str">
        <f t="shared" si="50"/>
        <v>Venezuela</v>
      </c>
      <c r="F122" s="22" t="s">
        <v>383</v>
      </c>
      <c r="G122" s="85" t="s">
        <v>208</v>
      </c>
      <c r="H122" s="86">
        <v>1</v>
      </c>
      <c r="I122" s="22" t="s">
        <v>384</v>
      </c>
      <c r="J122" s="18" t="s">
        <v>150</v>
      </c>
      <c r="K122" s="86">
        <v>9</v>
      </c>
      <c r="L122" s="105"/>
      <c r="M122" s="106"/>
      <c r="N122" s="41">
        <f t="shared" si="51"/>
        <v>0</v>
      </c>
      <c r="O122" s="41">
        <f t="shared" si="52"/>
        <v>275</v>
      </c>
      <c r="P122" s="41">
        <f t="shared" si="53"/>
        <v>1080</v>
      </c>
      <c r="Q122" s="42">
        <f t="shared" si="54"/>
        <v>1355</v>
      </c>
      <c r="R122" s="104" t="str">
        <f t="shared" si="55"/>
        <v/>
      </c>
    </row>
    <row r="123" spans="2:18" s="38" customFormat="1" x14ac:dyDescent="0.25">
      <c r="B123" s="18" t="s">
        <v>320</v>
      </c>
      <c r="C123" s="23" t="s">
        <v>17</v>
      </c>
      <c r="D123" s="46" t="str">
        <f t="shared" si="49"/>
        <v>UNIVERSITE PAUL SABATIER TOULOUSE III</v>
      </c>
      <c r="E123" s="46" t="str">
        <f t="shared" si="50"/>
        <v>France</v>
      </c>
      <c r="F123" s="22" t="s">
        <v>392</v>
      </c>
      <c r="G123" s="85" t="s">
        <v>208</v>
      </c>
      <c r="H123" s="86">
        <v>2</v>
      </c>
      <c r="I123" s="22" t="s">
        <v>384</v>
      </c>
      <c r="J123" s="18" t="s">
        <v>152</v>
      </c>
      <c r="K123" s="86">
        <v>9</v>
      </c>
      <c r="L123" s="105"/>
      <c r="M123" s="106"/>
      <c r="N123" s="41">
        <f t="shared" si="51"/>
        <v>0</v>
      </c>
      <c r="O123" s="41">
        <f t="shared" si="52"/>
        <v>3000</v>
      </c>
      <c r="P123" s="41">
        <f t="shared" si="53"/>
        <v>2160</v>
      </c>
      <c r="Q123" s="42">
        <f t="shared" si="54"/>
        <v>5160</v>
      </c>
      <c r="R123" s="104" t="str">
        <f t="shared" si="55"/>
        <v/>
      </c>
    </row>
    <row r="124" spans="2:18" s="38" customFormat="1" x14ac:dyDescent="0.25">
      <c r="B124" s="18" t="s">
        <v>320</v>
      </c>
      <c r="C124" s="23" t="s">
        <v>18</v>
      </c>
      <c r="D124" s="46" t="str">
        <f t="shared" si="49"/>
        <v>TECHNISCHE UNIVERSITAET DRESDEN</v>
      </c>
      <c r="E124" s="46" t="str">
        <f t="shared" si="50"/>
        <v>Germany</v>
      </c>
      <c r="F124" s="22" t="s">
        <v>390</v>
      </c>
      <c r="G124" s="85" t="s">
        <v>208</v>
      </c>
      <c r="H124" s="86">
        <v>2</v>
      </c>
      <c r="I124" s="22" t="s">
        <v>384</v>
      </c>
      <c r="J124" s="18" t="s">
        <v>152</v>
      </c>
      <c r="K124" s="86">
        <v>9</v>
      </c>
      <c r="L124" s="105"/>
      <c r="M124" s="106"/>
      <c r="N124" s="41">
        <f t="shared" si="51"/>
        <v>0</v>
      </c>
      <c r="O124" s="41">
        <f t="shared" si="52"/>
        <v>3000</v>
      </c>
      <c r="P124" s="41">
        <f t="shared" si="53"/>
        <v>2160</v>
      </c>
      <c r="Q124" s="42">
        <f t="shared" si="54"/>
        <v>5160</v>
      </c>
      <c r="R124" s="104" t="str">
        <f t="shared" si="55"/>
        <v/>
      </c>
    </row>
    <row r="125" spans="2:18" s="38" customFormat="1" x14ac:dyDescent="0.25">
      <c r="B125" s="18" t="s">
        <v>174</v>
      </c>
      <c r="C125" s="23" t="s">
        <v>8</v>
      </c>
      <c r="D125" s="46" t="str">
        <f t="shared" si="49"/>
        <v>Université Paris Diderot</v>
      </c>
      <c r="E125" s="46" t="str">
        <f t="shared" si="50"/>
        <v>France</v>
      </c>
      <c r="F125" s="22" t="s">
        <v>386</v>
      </c>
      <c r="G125" s="85" t="s">
        <v>208</v>
      </c>
      <c r="H125" s="86">
        <v>2</v>
      </c>
      <c r="I125" s="22" t="s">
        <v>387</v>
      </c>
      <c r="J125" s="18" t="s">
        <v>152</v>
      </c>
      <c r="K125" s="86">
        <v>5</v>
      </c>
      <c r="L125" s="105"/>
      <c r="M125" s="106"/>
      <c r="N125" s="41">
        <f t="shared" si="51"/>
        <v>0</v>
      </c>
      <c r="O125" s="41">
        <f t="shared" si="52"/>
        <v>3000</v>
      </c>
      <c r="P125" s="41">
        <f t="shared" si="53"/>
        <v>1200</v>
      </c>
      <c r="Q125" s="42">
        <f t="shared" si="54"/>
        <v>4200</v>
      </c>
      <c r="R125" s="104" t="str">
        <f t="shared" si="55"/>
        <v/>
      </c>
    </row>
    <row r="126" spans="2:18" s="38" customFormat="1" x14ac:dyDescent="0.25">
      <c r="B126" s="18" t="s">
        <v>174</v>
      </c>
      <c r="C126" s="23" t="s">
        <v>9</v>
      </c>
      <c r="D126" s="46" t="str">
        <f t="shared" si="49"/>
        <v>Universidad Industrial de Santander</v>
      </c>
      <c r="E126" s="46" t="str">
        <f t="shared" si="50"/>
        <v>Colombia</v>
      </c>
      <c r="F126" s="22" t="s">
        <v>384</v>
      </c>
      <c r="G126" s="85" t="s">
        <v>208</v>
      </c>
      <c r="H126" s="86">
        <v>1</v>
      </c>
      <c r="I126" s="22" t="s">
        <v>387</v>
      </c>
      <c r="J126" s="18" t="s">
        <v>149</v>
      </c>
      <c r="K126" s="86">
        <v>5</v>
      </c>
      <c r="L126" s="105"/>
      <c r="M126" s="106"/>
      <c r="N126" s="41">
        <f t="shared" si="51"/>
        <v>0</v>
      </c>
      <c r="O126" s="41">
        <f t="shared" si="52"/>
        <v>180</v>
      </c>
      <c r="P126" s="41">
        <f t="shared" si="53"/>
        <v>600</v>
      </c>
      <c r="Q126" s="42">
        <f t="shared" si="54"/>
        <v>780</v>
      </c>
      <c r="R126" s="104" t="str">
        <f t="shared" si="55"/>
        <v/>
      </c>
    </row>
    <row r="127" spans="2:18" s="38" customFormat="1" x14ac:dyDescent="0.25">
      <c r="B127" s="18" t="s">
        <v>174</v>
      </c>
      <c r="C127" s="23" t="s">
        <v>11</v>
      </c>
      <c r="D127" s="46" t="str">
        <f t="shared" si="49"/>
        <v>UNIVERSIDAD SAN FRANCISCO DE QUITO</v>
      </c>
      <c r="E127" s="46" t="str">
        <f t="shared" si="50"/>
        <v>Ecuador</v>
      </c>
      <c r="F127" s="22" t="s">
        <v>381</v>
      </c>
      <c r="G127" s="85" t="s">
        <v>208</v>
      </c>
      <c r="H127" s="86">
        <v>1</v>
      </c>
      <c r="I127" s="22" t="s">
        <v>387</v>
      </c>
      <c r="J127" s="18" t="s">
        <v>150</v>
      </c>
      <c r="K127" s="86">
        <v>5</v>
      </c>
      <c r="L127" s="105"/>
      <c r="M127" s="106"/>
      <c r="N127" s="41">
        <f t="shared" si="51"/>
        <v>0</v>
      </c>
      <c r="O127" s="41">
        <f t="shared" si="52"/>
        <v>275</v>
      </c>
      <c r="P127" s="41">
        <f t="shared" si="53"/>
        <v>600</v>
      </c>
      <c r="Q127" s="42">
        <f t="shared" si="54"/>
        <v>875</v>
      </c>
      <c r="R127" s="104" t="str">
        <f t="shared" si="55"/>
        <v/>
      </c>
    </row>
    <row r="128" spans="2:18" s="38" customFormat="1" ht="36" x14ac:dyDescent="0.25">
      <c r="B128" s="18" t="s">
        <v>174</v>
      </c>
      <c r="C128" s="23" t="s">
        <v>12</v>
      </c>
      <c r="D128" s="46" t="str">
        <f t="shared" si="49"/>
        <v>UNIVERSIDADDE INVESTIGACIONDE TECNOLOGIA EXPERIMENTAL YACHAY</v>
      </c>
      <c r="E128" s="46" t="str">
        <f t="shared" si="50"/>
        <v>Ecuador</v>
      </c>
      <c r="F128" s="22" t="s">
        <v>385</v>
      </c>
      <c r="G128" s="85" t="s">
        <v>208</v>
      </c>
      <c r="H128" s="86">
        <v>1</v>
      </c>
      <c r="I128" s="22" t="s">
        <v>387</v>
      </c>
      <c r="J128" s="18" t="s">
        <v>150</v>
      </c>
      <c r="K128" s="86">
        <v>5</v>
      </c>
      <c r="L128" s="105"/>
      <c r="M128" s="106"/>
      <c r="N128" s="41">
        <f t="shared" si="51"/>
        <v>0</v>
      </c>
      <c r="O128" s="41">
        <f t="shared" si="52"/>
        <v>275</v>
      </c>
      <c r="P128" s="41">
        <f t="shared" si="53"/>
        <v>600</v>
      </c>
      <c r="Q128" s="42">
        <f t="shared" si="54"/>
        <v>875</v>
      </c>
      <c r="R128" s="104" t="str">
        <f t="shared" si="55"/>
        <v/>
      </c>
    </row>
    <row r="129" spans="2:18" s="38" customFormat="1" ht="36" x14ac:dyDescent="0.25">
      <c r="B129" s="18" t="s">
        <v>174</v>
      </c>
      <c r="C129" s="23" t="s">
        <v>13</v>
      </c>
      <c r="D129" s="46" t="str">
        <f t="shared" si="49"/>
        <v>UNIVERSIDAD NACIONAL MAYOR DE SAN MARCOS</v>
      </c>
      <c r="E129" s="46" t="str">
        <f t="shared" si="50"/>
        <v>Peru</v>
      </c>
      <c r="F129" s="22" t="s">
        <v>382</v>
      </c>
      <c r="G129" s="85" t="s">
        <v>208</v>
      </c>
      <c r="H129" s="86">
        <v>1</v>
      </c>
      <c r="I129" s="22" t="s">
        <v>387</v>
      </c>
      <c r="J129" s="18" t="s">
        <v>150</v>
      </c>
      <c r="K129" s="86">
        <v>5</v>
      </c>
      <c r="L129" s="105"/>
      <c r="M129" s="106"/>
      <c r="N129" s="41">
        <f t="shared" si="51"/>
        <v>0</v>
      </c>
      <c r="O129" s="41">
        <f t="shared" si="52"/>
        <v>275</v>
      </c>
      <c r="P129" s="41">
        <f t="shared" si="53"/>
        <v>600</v>
      </c>
      <c r="Q129" s="42">
        <f t="shared" si="54"/>
        <v>875</v>
      </c>
      <c r="R129" s="104" t="str">
        <f t="shared" si="55"/>
        <v/>
      </c>
    </row>
    <row r="130" spans="2:18" s="38" customFormat="1" x14ac:dyDescent="0.25">
      <c r="B130" s="18" t="s">
        <v>174</v>
      </c>
      <c r="C130" s="23" t="s">
        <v>14</v>
      </c>
      <c r="D130" s="46" t="str">
        <f t="shared" si="49"/>
        <v xml:space="preserve">Universidad Nacional de Ingenieria </v>
      </c>
      <c r="E130" s="46" t="str">
        <f t="shared" si="50"/>
        <v>Peru</v>
      </c>
      <c r="F130" s="22" t="s">
        <v>382</v>
      </c>
      <c r="G130" s="85" t="s">
        <v>208</v>
      </c>
      <c r="H130" s="86">
        <v>1</v>
      </c>
      <c r="I130" s="22" t="s">
        <v>387</v>
      </c>
      <c r="J130" s="18" t="s">
        <v>150</v>
      </c>
      <c r="K130" s="86">
        <v>5</v>
      </c>
      <c r="L130" s="105"/>
      <c r="M130" s="106"/>
      <c r="N130" s="41">
        <f t="shared" si="51"/>
        <v>0</v>
      </c>
      <c r="O130" s="41">
        <f t="shared" si="52"/>
        <v>275</v>
      </c>
      <c r="P130" s="41">
        <f t="shared" si="53"/>
        <v>600</v>
      </c>
      <c r="Q130" s="42">
        <f t="shared" si="54"/>
        <v>875</v>
      </c>
      <c r="R130" s="104" t="str">
        <f t="shared" si="55"/>
        <v/>
      </c>
    </row>
    <row r="131" spans="2:18" s="38" customFormat="1" x14ac:dyDescent="0.25">
      <c r="B131" s="18" t="s">
        <v>174</v>
      </c>
      <c r="C131" s="23" t="s">
        <v>15</v>
      </c>
      <c r="D131" s="46" t="str">
        <f t="shared" si="49"/>
        <v>UNIVERSIDAD CENTRAL DE VENEZUELA</v>
      </c>
      <c r="E131" s="46" t="str">
        <f t="shared" si="50"/>
        <v>Venezuela</v>
      </c>
      <c r="F131" s="22" t="s">
        <v>383</v>
      </c>
      <c r="G131" s="85" t="s">
        <v>208</v>
      </c>
      <c r="H131" s="86">
        <v>1</v>
      </c>
      <c r="I131" s="22" t="s">
        <v>387</v>
      </c>
      <c r="J131" s="18" t="s">
        <v>150</v>
      </c>
      <c r="K131" s="86">
        <v>5</v>
      </c>
      <c r="L131" s="105"/>
      <c r="M131" s="106"/>
      <c r="N131" s="41">
        <f t="shared" si="51"/>
        <v>0</v>
      </c>
      <c r="O131" s="41">
        <f t="shared" si="52"/>
        <v>275</v>
      </c>
      <c r="P131" s="41">
        <f t="shared" si="53"/>
        <v>600</v>
      </c>
      <c r="Q131" s="42">
        <f t="shared" si="54"/>
        <v>875</v>
      </c>
      <c r="R131" s="104" t="str">
        <f t="shared" si="55"/>
        <v/>
      </c>
    </row>
    <row r="132" spans="2:18" s="38" customFormat="1" x14ac:dyDescent="0.25">
      <c r="B132" s="18" t="s">
        <v>174</v>
      </c>
      <c r="C132" s="23" t="s">
        <v>16</v>
      </c>
      <c r="D132" s="46" t="str">
        <f t="shared" si="49"/>
        <v>UNIVERSIDAD SIMON BOLIVAR</v>
      </c>
      <c r="E132" s="46" t="str">
        <f t="shared" si="50"/>
        <v>Venezuela</v>
      </c>
      <c r="F132" s="22" t="s">
        <v>383</v>
      </c>
      <c r="G132" s="85" t="s">
        <v>208</v>
      </c>
      <c r="H132" s="86">
        <v>1</v>
      </c>
      <c r="I132" s="22" t="s">
        <v>387</v>
      </c>
      <c r="J132" s="18" t="s">
        <v>150</v>
      </c>
      <c r="K132" s="86">
        <v>5</v>
      </c>
      <c r="L132" s="105"/>
      <c r="M132" s="106"/>
      <c r="N132" s="41">
        <f t="shared" si="51"/>
        <v>0</v>
      </c>
      <c r="O132" s="41">
        <f t="shared" si="52"/>
        <v>275</v>
      </c>
      <c r="P132" s="41">
        <f t="shared" si="53"/>
        <v>600</v>
      </c>
      <c r="Q132" s="42">
        <f t="shared" si="54"/>
        <v>875</v>
      </c>
      <c r="R132" s="104" t="str">
        <f t="shared" si="55"/>
        <v/>
      </c>
    </row>
    <row r="133" spans="2:18" s="38" customFormat="1" x14ac:dyDescent="0.25">
      <c r="B133" s="18" t="s">
        <v>174</v>
      </c>
      <c r="C133" s="23" t="s">
        <v>17</v>
      </c>
      <c r="D133" s="46" t="str">
        <f t="shared" si="49"/>
        <v>UNIVERSITE PAUL SABATIER TOULOUSE III</v>
      </c>
      <c r="E133" s="46" t="str">
        <f t="shared" si="50"/>
        <v>France</v>
      </c>
      <c r="F133" s="22" t="s">
        <v>392</v>
      </c>
      <c r="G133" s="85" t="s">
        <v>208</v>
      </c>
      <c r="H133" s="86">
        <v>1</v>
      </c>
      <c r="I133" s="22" t="s">
        <v>387</v>
      </c>
      <c r="J133" s="18" t="s">
        <v>152</v>
      </c>
      <c r="K133" s="86">
        <v>5</v>
      </c>
      <c r="L133" s="105"/>
      <c r="M133" s="106"/>
      <c r="N133" s="41">
        <f t="shared" si="51"/>
        <v>0</v>
      </c>
      <c r="O133" s="41">
        <f t="shared" si="52"/>
        <v>1500</v>
      </c>
      <c r="P133" s="41">
        <f t="shared" si="53"/>
        <v>600</v>
      </c>
      <c r="Q133" s="42">
        <f t="shared" si="54"/>
        <v>2100</v>
      </c>
      <c r="R133" s="104" t="str">
        <f t="shared" si="55"/>
        <v/>
      </c>
    </row>
    <row r="134" spans="2:18" s="38" customFormat="1" x14ac:dyDescent="0.25">
      <c r="B134" s="18" t="s">
        <v>174</v>
      </c>
      <c r="C134" s="23" t="s">
        <v>18</v>
      </c>
      <c r="D134" s="46" t="str">
        <f t="shared" si="49"/>
        <v>TECHNISCHE UNIVERSITAET DRESDEN</v>
      </c>
      <c r="E134" s="46" t="str">
        <f t="shared" si="50"/>
        <v>Germany</v>
      </c>
      <c r="F134" s="22" t="s">
        <v>390</v>
      </c>
      <c r="G134" s="85" t="s">
        <v>208</v>
      </c>
      <c r="H134" s="86">
        <v>1</v>
      </c>
      <c r="I134" s="22" t="s">
        <v>387</v>
      </c>
      <c r="J134" s="18" t="s">
        <v>152</v>
      </c>
      <c r="K134" s="86">
        <v>5</v>
      </c>
      <c r="L134" s="105"/>
      <c r="M134" s="106"/>
      <c r="N134" s="41">
        <f t="shared" si="51"/>
        <v>0</v>
      </c>
      <c r="O134" s="41">
        <f t="shared" si="52"/>
        <v>1500</v>
      </c>
      <c r="P134" s="41">
        <f t="shared" si="53"/>
        <v>600</v>
      </c>
      <c r="Q134" s="42">
        <f t="shared" si="54"/>
        <v>2100</v>
      </c>
      <c r="R134" s="104" t="str">
        <f t="shared" si="55"/>
        <v/>
      </c>
    </row>
    <row r="135" spans="2:18" s="38" customFormat="1" x14ac:dyDescent="0.25">
      <c r="B135" s="18" t="s">
        <v>174</v>
      </c>
      <c r="C135" s="23" t="s">
        <v>9</v>
      </c>
      <c r="D135" s="46" t="str">
        <f t="shared" si="49"/>
        <v>Universidad Industrial de Santander</v>
      </c>
      <c r="E135" s="46" t="str">
        <f t="shared" si="50"/>
        <v>Colombia</v>
      </c>
      <c r="F135" s="22" t="s">
        <v>384</v>
      </c>
      <c r="G135" s="85" t="s">
        <v>208</v>
      </c>
      <c r="H135" s="86">
        <v>1</v>
      </c>
      <c r="I135" s="22" t="s">
        <v>386</v>
      </c>
      <c r="J135" s="18" t="s">
        <v>152</v>
      </c>
      <c r="K135" s="86">
        <v>5</v>
      </c>
      <c r="L135" s="105"/>
      <c r="M135" s="106"/>
      <c r="N135" s="41">
        <f t="shared" si="51"/>
        <v>0</v>
      </c>
      <c r="O135" s="41">
        <f t="shared" si="52"/>
        <v>1500</v>
      </c>
      <c r="P135" s="41">
        <f t="shared" si="53"/>
        <v>600</v>
      </c>
      <c r="Q135" s="42">
        <f t="shared" si="54"/>
        <v>2100</v>
      </c>
      <c r="R135" s="104" t="str">
        <f t="shared" si="55"/>
        <v/>
      </c>
    </row>
    <row r="136" spans="2:18" s="38" customFormat="1" x14ac:dyDescent="0.25">
      <c r="B136" s="18" t="s">
        <v>174</v>
      </c>
      <c r="C136" s="23" t="s">
        <v>10</v>
      </c>
      <c r="D136" s="46" t="str">
        <f t="shared" si="49"/>
        <v>UNIVERSIDAD ANTONIO NARINO</v>
      </c>
      <c r="E136" s="46" t="str">
        <f t="shared" si="50"/>
        <v>Colombia</v>
      </c>
      <c r="F136" s="22" t="s">
        <v>387</v>
      </c>
      <c r="G136" s="85" t="s">
        <v>208</v>
      </c>
      <c r="H136" s="86">
        <v>1</v>
      </c>
      <c r="I136" s="22" t="s">
        <v>386</v>
      </c>
      <c r="J136" s="18" t="s">
        <v>152</v>
      </c>
      <c r="K136" s="86">
        <v>5</v>
      </c>
      <c r="L136" s="105"/>
      <c r="M136" s="106"/>
      <c r="N136" s="41">
        <f t="shared" si="51"/>
        <v>0</v>
      </c>
      <c r="O136" s="41">
        <f t="shared" si="52"/>
        <v>1500</v>
      </c>
      <c r="P136" s="41">
        <f t="shared" si="53"/>
        <v>600</v>
      </c>
      <c r="Q136" s="42">
        <f t="shared" si="54"/>
        <v>2100</v>
      </c>
      <c r="R136" s="104" t="str">
        <f t="shared" si="55"/>
        <v/>
      </c>
    </row>
    <row r="137" spans="2:18" s="38" customFormat="1" x14ac:dyDescent="0.25">
      <c r="B137" s="18" t="s">
        <v>174</v>
      </c>
      <c r="C137" s="23" t="s">
        <v>11</v>
      </c>
      <c r="D137" s="46" t="str">
        <f t="shared" si="49"/>
        <v>UNIVERSIDAD SAN FRANCISCO DE QUITO</v>
      </c>
      <c r="E137" s="46" t="str">
        <f t="shared" si="50"/>
        <v>Ecuador</v>
      </c>
      <c r="F137" s="22" t="s">
        <v>381</v>
      </c>
      <c r="G137" s="85" t="s">
        <v>208</v>
      </c>
      <c r="H137" s="86">
        <v>1</v>
      </c>
      <c r="I137" s="22" t="s">
        <v>386</v>
      </c>
      <c r="J137" s="18" t="s">
        <v>152</v>
      </c>
      <c r="K137" s="86">
        <v>5</v>
      </c>
      <c r="L137" s="105"/>
      <c r="M137" s="106"/>
      <c r="N137" s="41">
        <f t="shared" si="51"/>
        <v>0</v>
      </c>
      <c r="O137" s="41">
        <f t="shared" si="52"/>
        <v>1500</v>
      </c>
      <c r="P137" s="41">
        <f t="shared" si="53"/>
        <v>600</v>
      </c>
      <c r="Q137" s="42">
        <f t="shared" si="54"/>
        <v>2100</v>
      </c>
      <c r="R137" s="104" t="str">
        <f t="shared" si="55"/>
        <v/>
      </c>
    </row>
    <row r="138" spans="2:18" s="38" customFormat="1" ht="36" x14ac:dyDescent="0.25">
      <c r="B138" s="18" t="s">
        <v>174</v>
      </c>
      <c r="C138" s="23" t="s">
        <v>12</v>
      </c>
      <c r="D138" s="46" t="str">
        <f t="shared" si="49"/>
        <v>UNIVERSIDADDE INVESTIGACIONDE TECNOLOGIA EXPERIMENTAL YACHAY</v>
      </c>
      <c r="E138" s="46" t="str">
        <f t="shared" si="50"/>
        <v>Ecuador</v>
      </c>
      <c r="F138" s="22" t="s">
        <v>385</v>
      </c>
      <c r="G138" s="85" t="s">
        <v>208</v>
      </c>
      <c r="H138" s="86">
        <v>1</v>
      </c>
      <c r="I138" s="22" t="s">
        <v>386</v>
      </c>
      <c r="J138" s="18" t="s">
        <v>152</v>
      </c>
      <c r="K138" s="86">
        <v>5</v>
      </c>
      <c r="L138" s="105"/>
      <c r="M138" s="106"/>
      <c r="N138" s="41">
        <f t="shared" si="51"/>
        <v>0</v>
      </c>
      <c r="O138" s="41">
        <f t="shared" si="52"/>
        <v>1500</v>
      </c>
      <c r="P138" s="41">
        <f t="shared" si="53"/>
        <v>600</v>
      </c>
      <c r="Q138" s="42">
        <f t="shared" si="54"/>
        <v>2100</v>
      </c>
      <c r="R138" s="104" t="str">
        <f t="shared" si="55"/>
        <v/>
      </c>
    </row>
    <row r="139" spans="2:18" s="38" customFormat="1" ht="36" x14ac:dyDescent="0.25">
      <c r="B139" s="18" t="s">
        <v>174</v>
      </c>
      <c r="C139" s="23" t="s">
        <v>13</v>
      </c>
      <c r="D139" s="46" t="str">
        <f t="shared" si="49"/>
        <v>UNIVERSIDAD NACIONAL MAYOR DE SAN MARCOS</v>
      </c>
      <c r="E139" s="46" t="str">
        <f t="shared" si="50"/>
        <v>Peru</v>
      </c>
      <c r="F139" s="22" t="s">
        <v>382</v>
      </c>
      <c r="G139" s="85" t="s">
        <v>208</v>
      </c>
      <c r="H139" s="86">
        <v>1</v>
      </c>
      <c r="I139" s="22" t="s">
        <v>386</v>
      </c>
      <c r="J139" s="18" t="s">
        <v>152</v>
      </c>
      <c r="K139" s="86">
        <v>5</v>
      </c>
      <c r="L139" s="105"/>
      <c r="M139" s="106"/>
      <c r="N139" s="41">
        <f t="shared" si="51"/>
        <v>0</v>
      </c>
      <c r="O139" s="41">
        <f t="shared" si="52"/>
        <v>1500</v>
      </c>
      <c r="P139" s="41">
        <f t="shared" si="53"/>
        <v>600</v>
      </c>
      <c r="Q139" s="42">
        <f t="shared" si="54"/>
        <v>2100</v>
      </c>
      <c r="R139" s="104" t="str">
        <f t="shared" si="55"/>
        <v/>
      </c>
    </row>
    <row r="140" spans="2:18" s="38" customFormat="1" x14ac:dyDescent="0.25">
      <c r="B140" s="18" t="s">
        <v>174</v>
      </c>
      <c r="C140" s="23" t="s">
        <v>14</v>
      </c>
      <c r="D140" s="46" t="str">
        <f t="shared" si="49"/>
        <v xml:space="preserve">Universidad Nacional de Ingenieria </v>
      </c>
      <c r="E140" s="46" t="str">
        <f t="shared" si="50"/>
        <v>Peru</v>
      </c>
      <c r="F140" s="22" t="s">
        <v>382</v>
      </c>
      <c r="G140" s="85" t="s">
        <v>208</v>
      </c>
      <c r="H140" s="86">
        <v>1</v>
      </c>
      <c r="I140" s="22" t="s">
        <v>386</v>
      </c>
      <c r="J140" s="18" t="s">
        <v>152</v>
      </c>
      <c r="K140" s="86">
        <v>5</v>
      </c>
      <c r="L140" s="105"/>
      <c r="M140" s="106"/>
      <c r="N140" s="41">
        <f t="shared" si="51"/>
        <v>0</v>
      </c>
      <c r="O140" s="41">
        <f t="shared" si="52"/>
        <v>1500</v>
      </c>
      <c r="P140" s="41">
        <f t="shared" si="53"/>
        <v>600</v>
      </c>
      <c r="Q140" s="42">
        <f t="shared" si="54"/>
        <v>2100</v>
      </c>
      <c r="R140" s="104" t="str">
        <f t="shared" si="55"/>
        <v/>
      </c>
    </row>
    <row r="141" spans="2:18" s="38" customFormat="1" x14ac:dyDescent="0.25">
      <c r="B141" s="18" t="s">
        <v>174</v>
      </c>
      <c r="C141" s="23" t="s">
        <v>15</v>
      </c>
      <c r="D141" s="46" t="str">
        <f t="shared" si="49"/>
        <v>UNIVERSIDAD CENTRAL DE VENEZUELA</v>
      </c>
      <c r="E141" s="46" t="str">
        <f t="shared" si="50"/>
        <v>Venezuela</v>
      </c>
      <c r="F141" s="22" t="s">
        <v>383</v>
      </c>
      <c r="G141" s="85" t="s">
        <v>208</v>
      </c>
      <c r="H141" s="86">
        <v>1</v>
      </c>
      <c r="I141" s="22" t="s">
        <v>386</v>
      </c>
      <c r="J141" s="18" t="s">
        <v>152</v>
      </c>
      <c r="K141" s="86">
        <v>5</v>
      </c>
      <c r="L141" s="105"/>
      <c r="M141" s="106"/>
      <c r="N141" s="41">
        <f t="shared" si="51"/>
        <v>0</v>
      </c>
      <c r="O141" s="41">
        <f t="shared" si="52"/>
        <v>1500</v>
      </c>
      <c r="P141" s="41">
        <f t="shared" si="53"/>
        <v>600</v>
      </c>
      <c r="Q141" s="42">
        <f t="shared" si="54"/>
        <v>2100</v>
      </c>
      <c r="R141" s="104" t="str">
        <f t="shared" si="55"/>
        <v/>
      </c>
    </row>
    <row r="142" spans="2:18" s="38" customFormat="1" x14ac:dyDescent="0.25">
      <c r="B142" s="18" t="s">
        <v>174</v>
      </c>
      <c r="C142" s="23" t="s">
        <v>16</v>
      </c>
      <c r="D142" s="46" t="str">
        <f t="shared" ref="D142:D144" si="56">IFERROR(IF(VLOOKUP(C142,PartnerN°Ref,2,FALSE)=0,"",VLOOKUP(C142,PartnerN°Ref,2,FALSE)),"")</f>
        <v>UNIVERSIDAD SIMON BOLIVAR</v>
      </c>
      <c r="E142" s="46" t="str">
        <f t="shared" ref="E142:E144" si="57">IFERROR(IF(OR(VLOOKUP(C142,PartnerN°Ref,4,FALSE)="Country not found",VLOOKUP(C142,PartnerN°Ref,3,FALSE)=0),"",VLOOKUP(C142,PartnerN°Ref,3,FALSE)),"")</f>
        <v>Venezuela</v>
      </c>
      <c r="F142" s="22" t="s">
        <v>383</v>
      </c>
      <c r="G142" s="85" t="s">
        <v>208</v>
      </c>
      <c r="H142" s="86">
        <v>1</v>
      </c>
      <c r="I142" s="22" t="s">
        <v>386</v>
      </c>
      <c r="J142" s="18" t="s">
        <v>152</v>
      </c>
      <c r="K142" s="86">
        <v>5</v>
      </c>
      <c r="L142" s="105"/>
      <c r="M142" s="106"/>
      <c r="N142" s="41">
        <f t="shared" si="51"/>
        <v>0</v>
      </c>
      <c r="O142" s="41">
        <f t="shared" si="52"/>
        <v>1500</v>
      </c>
      <c r="P142" s="41">
        <f t="shared" si="53"/>
        <v>600</v>
      </c>
      <c r="Q142" s="42">
        <f t="shared" si="54"/>
        <v>2100</v>
      </c>
      <c r="R142" s="104" t="str">
        <f t="shared" si="55"/>
        <v/>
      </c>
    </row>
    <row r="143" spans="2:18" s="38" customFormat="1" x14ac:dyDescent="0.25">
      <c r="B143" s="18" t="s">
        <v>174</v>
      </c>
      <c r="C143" s="23" t="s">
        <v>17</v>
      </c>
      <c r="D143" s="46" t="str">
        <f t="shared" si="56"/>
        <v>UNIVERSITE PAUL SABATIER TOULOUSE III</v>
      </c>
      <c r="E143" s="46" t="str">
        <f t="shared" si="57"/>
        <v>France</v>
      </c>
      <c r="F143" s="22" t="s">
        <v>392</v>
      </c>
      <c r="G143" s="85" t="s">
        <v>208</v>
      </c>
      <c r="H143" s="86">
        <v>1</v>
      </c>
      <c r="I143" s="22" t="s">
        <v>386</v>
      </c>
      <c r="J143" s="18" t="s">
        <v>150</v>
      </c>
      <c r="K143" s="86">
        <v>5</v>
      </c>
      <c r="L143" s="105"/>
      <c r="M143" s="106"/>
      <c r="N143" s="41">
        <f t="shared" si="51"/>
        <v>0</v>
      </c>
      <c r="O143" s="41">
        <f t="shared" si="52"/>
        <v>275</v>
      </c>
      <c r="P143" s="41">
        <f t="shared" si="53"/>
        <v>600</v>
      </c>
      <c r="Q143" s="42">
        <f t="shared" si="54"/>
        <v>875</v>
      </c>
      <c r="R143" s="104" t="str">
        <f t="shared" si="55"/>
        <v/>
      </c>
    </row>
    <row r="144" spans="2:18" s="38" customFormat="1" x14ac:dyDescent="0.25">
      <c r="B144" s="18" t="s">
        <v>174</v>
      </c>
      <c r="C144" s="23" t="s">
        <v>18</v>
      </c>
      <c r="D144" s="46" t="str">
        <f t="shared" si="56"/>
        <v>TECHNISCHE UNIVERSITAET DRESDEN</v>
      </c>
      <c r="E144" s="46" t="str">
        <f t="shared" si="57"/>
        <v>Germany</v>
      </c>
      <c r="F144" s="22" t="s">
        <v>390</v>
      </c>
      <c r="G144" s="85" t="s">
        <v>208</v>
      </c>
      <c r="H144" s="86">
        <v>1</v>
      </c>
      <c r="I144" s="22" t="s">
        <v>386</v>
      </c>
      <c r="J144" s="18" t="s">
        <v>150</v>
      </c>
      <c r="K144" s="86">
        <v>5</v>
      </c>
      <c r="L144" s="105"/>
      <c r="M144" s="106"/>
      <c r="N144" s="41">
        <f t="shared" si="51"/>
        <v>0</v>
      </c>
      <c r="O144" s="41">
        <f t="shared" si="52"/>
        <v>275</v>
      </c>
      <c r="P144" s="41">
        <f t="shared" si="53"/>
        <v>600</v>
      </c>
      <c r="Q144" s="42">
        <f t="shared" si="54"/>
        <v>875</v>
      </c>
      <c r="R144" s="104" t="str">
        <f t="shared" si="55"/>
        <v/>
      </c>
    </row>
    <row r="146" spans="12:15" x14ac:dyDescent="0.25">
      <c r="M146" s="109"/>
    </row>
    <row r="148" spans="12:15" x14ac:dyDescent="0.25">
      <c r="L148" s="108"/>
      <c r="M148" s="108"/>
    </row>
    <row r="149" spans="12:15" x14ac:dyDescent="0.25">
      <c r="M149" s="108"/>
      <c r="N149" s="108"/>
      <c r="O149" s="108"/>
    </row>
  </sheetData>
  <sheetProtection password="E359" sheet="1" objects="1" scenarios="1" selectLockedCells="1"/>
  <dataConsolidate/>
  <mergeCells count="17">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s>
  <conditionalFormatting sqref="R14">
    <cfRule type="containsText" dxfId="1586" priority="3189" operator="containsText" text="Error">
      <formula>NOT(ISERROR(SEARCH("Error",R14)))</formula>
    </cfRule>
  </conditionalFormatting>
  <conditionalFormatting sqref="D13:E14">
    <cfRule type="containsBlanks" dxfId="1585" priority="3187">
      <formula>LEN(TRIM(D13))=0</formula>
    </cfRule>
  </conditionalFormatting>
  <conditionalFormatting sqref="O4:Q4">
    <cfRule type="cellIs" dxfId="1584" priority="2935" operator="equal">
      <formula>"EXCEEDING 80% OF TOTAL TRAVEL COSTS"</formula>
    </cfRule>
  </conditionalFormatting>
  <conditionalFormatting sqref="H13 K13 H82:H88 K82:K88 H106:H114 K96:K104 H97:H104">
    <cfRule type="expression" dxfId="1583" priority="2927">
      <formula>ISNUMBER(H13)=FALSE</formula>
    </cfRule>
  </conditionalFormatting>
  <conditionalFormatting sqref="F13:K13 H83:I88 K83:K88 H107:H114 I106:I114 I126:I134 I97:I104 K97:K104 H98:H104">
    <cfRule type="containsBlanks" dxfId="1582" priority="1852">
      <formula>LEN(TRIM(F13))=0</formula>
    </cfRule>
  </conditionalFormatting>
  <conditionalFormatting sqref="B13:C13">
    <cfRule type="containsBlanks" dxfId="1581" priority="2919">
      <formula>LEN(TRIM(B13))=0</formula>
    </cfRule>
  </conditionalFormatting>
  <conditionalFormatting sqref="B14:C14">
    <cfRule type="containsBlanks" dxfId="1580" priority="2918">
      <formula>LEN(TRIM(B14))=0</formula>
    </cfRule>
  </conditionalFormatting>
  <conditionalFormatting sqref="K13 K82:K88 K96:K104">
    <cfRule type="cellIs" dxfId="1579" priority="1847" operator="lessThan">
      <formula>0</formula>
    </cfRule>
    <cfRule type="cellIs" dxfId="1578" priority="2932" operator="equal">
      <formula>0</formula>
    </cfRule>
  </conditionalFormatting>
  <conditionalFormatting sqref="H13 H82:H88 H106:H114 H97:H104">
    <cfRule type="cellIs" dxfId="1577" priority="2923" operator="lessThanOrEqual">
      <formula>0</formula>
    </cfRule>
  </conditionalFormatting>
  <conditionalFormatting sqref="H14 K14">
    <cfRule type="expression" dxfId="1576" priority="1845">
      <formula>ISNUMBER(H14)=FALSE</formula>
    </cfRule>
  </conditionalFormatting>
  <conditionalFormatting sqref="F14:K14">
    <cfRule type="containsBlanks" dxfId="1575" priority="1843">
      <formula>LEN(TRIM(F14))=0</formula>
    </cfRule>
  </conditionalFormatting>
  <conditionalFormatting sqref="K14">
    <cfRule type="cellIs" dxfId="1574" priority="1842" operator="lessThan">
      <formula>0</formula>
    </cfRule>
    <cfRule type="cellIs" dxfId="1573" priority="1846" operator="equal">
      <formula>0</formula>
    </cfRule>
  </conditionalFormatting>
  <conditionalFormatting sqref="H14">
    <cfRule type="cellIs" dxfId="1572" priority="1844" operator="lessThanOrEqual">
      <formula>0</formula>
    </cfRule>
  </conditionalFormatting>
  <conditionalFormatting sqref="M14">
    <cfRule type="expression" dxfId="1571" priority="1825">
      <formula>AND(M14=0,L14&lt;&gt;"")</formula>
    </cfRule>
  </conditionalFormatting>
  <conditionalFormatting sqref="L14">
    <cfRule type="expression" dxfId="1570" priority="1827">
      <formula>AND(L14="",M14&gt;0)</formula>
    </cfRule>
  </conditionalFormatting>
  <conditionalFormatting sqref="L14:M14">
    <cfRule type="cellIs" dxfId="1569" priority="1828" operator="equal">
      <formula>0</formula>
    </cfRule>
  </conditionalFormatting>
  <conditionalFormatting sqref="M13">
    <cfRule type="expression" dxfId="1568" priority="1817">
      <formula>AND(M13=0,L13&lt;&gt;"")</formula>
    </cfRule>
  </conditionalFormatting>
  <conditionalFormatting sqref="L13">
    <cfRule type="expression" dxfId="1567" priority="1818">
      <formula>AND(L13="",M13&gt;0)</formula>
    </cfRule>
  </conditionalFormatting>
  <conditionalFormatting sqref="L13:M13">
    <cfRule type="cellIs" dxfId="1566" priority="1819" operator="equal">
      <formula>0</formula>
    </cfRule>
  </conditionalFormatting>
  <conditionalFormatting sqref="N14">
    <cfRule type="expression" dxfId="1565" priority="1805">
      <formula>ISNUMBER(N14)=FALSE</formula>
    </cfRule>
  </conditionalFormatting>
  <conditionalFormatting sqref="R13">
    <cfRule type="containsText" dxfId="1564" priority="1792" operator="containsText" text="Error">
      <formula>NOT(ISERROR(SEARCH("Error",R13)))</formula>
    </cfRule>
  </conditionalFormatting>
  <conditionalFormatting sqref="N13">
    <cfRule type="expression" dxfId="1563" priority="1791">
      <formula>ISNUMBER(N13)=FALSE</formula>
    </cfRule>
  </conditionalFormatting>
  <conditionalFormatting sqref="D15:E15">
    <cfRule type="containsBlanks" dxfId="1562" priority="1728">
      <formula>LEN(TRIM(D15))=0</formula>
    </cfRule>
  </conditionalFormatting>
  <conditionalFormatting sqref="H15 K15">
    <cfRule type="expression" dxfId="1561" priority="1726">
      <formula>ISNUMBER(H15)=FALSE</formula>
    </cfRule>
  </conditionalFormatting>
  <conditionalFormatting sqref="F15:K15">
    <cfRule type="containsBlanks" dxfId="1560" priority="1723">
      <formula>LEN(TRIM(F15))=0</formula>
    </cfRule>
  </conditionalFormatting>
  <conditionalFormatting sqref="B15:C15">
    <cfRule type="containsBlanks" dxfId="1559" priority="1724">
      <formula>LEN(TRIM(B15))=0</formula>
    </cfRule>
  </conditionalFormatting>
  <conditionalFormatting sqref="K15">
    <cfRule type="cellIs" dxfId="1558" priority="1722" operator="lessThan">
      <formula>0</formula>
    </cfRule>
    <cfRule type="cellIs" dxfId="1557" priority="1727" operator="equal">
      <formula>0</formula>
    </cfRule>
  </conditionalFormatting>
  <conditionalFormatting sqref="H15">
    <cfRule type="cellIs" dxfId="1556" priority="1725" operator="lessThanOrEqual">
      <formula>0</formula>
    </cfRule>
  </conditionalFormatting>
  <conditionalFormatting sqref="M15">
    <cfRule type="expression" dxfId="1555" priority="1719">
      <formula>AND(M15=0,L15&lt;&gt;"")</formula>
    </cfRule>
  </conditionalFormatting>
  <conditionalFormatting sqref="L15">
    <cfRule type="expression" dxfId="1554" priority="1720">
      <formula>AND(L15="",M15&gt;0)</formula>
    </cfRule>
  </conditionalFormatting>
  <conditionalFormatting sqref="L15:M15">
    <cfRule type="cellIs" dxfId="1553" priority="1721" operator="equal">
      <formula>0</formula>
    </cfRule>
  </conditionalFormatting>
  <conditionalFormatting sqref="R15">
    <cfRule type="containsText" dxfId="1552" priority="1718" operator="containsText" text="Error">
      <formula>NOT(ISERROR(SEARCH("Error",R15)))</formula>
    </cfRule>
  </conditionalFormatting>
  <conditionalFormatting sqref="N15">
    <cfRule type="expression" dxfId="1551" priority="1717">
      <formula>ISNUMBER(N15)=FALSE</formula>
    </cfRule>
  </conditionalFormatting>
  <conditionalFormatting sqref="D16:E16">
    <cfRule type="containsBlanks" dxfId="1550" priority="1716">
      <formula>LEN(TRIM(D16))=0</formula>
    </cfRule>
  </conditionalFormatting>
  <conditionalFormatting sqref="H16 K16">
    <cfRule type="expression" dxfId="1549" priority="1714">
      <formula>ISNUMBER(H16)=FALSE</formula>
    </cfRule>
  </conditionalFormatting>
  <conditionalFormatting sqref="F16:K16">
    <cfRule type="containsBlanks" dxfId="1548" priority="1711">
      <formula>LEN(TRIM(F16))=0</formula>
    </cfRule>
  </conditionalFormatting>
  <conditionalFormatting sqref="B16:C16">
    <cfRule type="containsBlanks" dxfId="1547" priority="1712">
      <formula>LEN(TRIM(B16))=0</formula>
    </cfRule>
  </conditionalFormatting>
  <conditionalFormatting sqref="K16">
    <cfRule type="cellIs" dxfId="1546" priority="1710" operator="lessThan">
      <formula>0</formula>
    </cfRule>
    <cfRule type="cellIs" dxfId="1545" priority="1715" operator="equal">
      <formula>0</formula>
    </cfRule>
  </conditionalFormatting>
  <conditionalFormatting sqref="H16">
    <cfRule type="cellIs" dxfId="1544" priority="1713" operator="lessThanOrEqual">
      <formula>0</formula>
    </cfRule>
  </conditionalFormatting>
  <conditionalFormatting sqref="M16">
    <cfRule type="expression" dxfId="1543" priority="1707">
      <formula>AND(M16=0,L16&lt;&gt;"")</formula>
    </cfRule>
  </conditionalFormatting>
  <conditionalFormatting sqref="L16">
    <cfRule type="expression" dxfId="1542" priority="1708">
      <formula>AND(L16="",M16&gt;0)</formula>
    </cfRule>
  </conditionalFormatting>
  <conditionalFormatting sqref="L16:M16">
    <cfRule type="cellIs" dxfId="1541" priority="1709" operator="equal">
      <formula>0</formula>
    </cfRule>
  </conditionalFormatting>
  <conditionalFormatting sqref="R16">
    <cfRule type="containsText" dxfId="1540" priority="1706" operator="containsText" text="Error">
      <formula>NOT(ISERROR(SEARCH("Error",R16)))</formula>
    </cfRule>
  </conditionalFormatting>
  <conditionalFormatting sqref="N16">
    <cfRule type="expression" dxfId="1539" priority="1705">
      <formula>ISNUMBER(N16)=FALSE</formula>
    </cfRule>
  </conditionalFormatting>
  <conditionalFormatting sqref="D17:E17">
    <cfRule type="containsBlanks" dxfId="1538" priority="1704">
      <formula>LEN(TRIM(D17))=0</formula>
    </cfRule>
  </conditionalFormatting>
  <conditionalFormatting sqref="H17 K17">
    <cfRule type="expression" dxfId="1537" priority="1702">
      <formula>ISNUMBER(H17)=FALSE</formula>
    </cfRule>
  </conditionalFormatting>
  <conditionalFormatting sqref="F17:K17">
    <cfRule type="containsBlanks" dxfId="1536" priority="1699">
      <formula>LEN(TRIM(F17))=0</formula>
    </cfRule>
  </conditionalFormatting>
  <conditionalFormatting sqref="B17:C17">
    <cfRule type="containsBlanks" dxfId="1535" priority="1700">
      <formula>LEN(TRIM(B17))=0</formula>
    </cfRule>
  </conditionalFormatting>
  <conditionalFormatting sqref="K17">
    <cfRule type="cellIs" dxfId="1534" priority="1698" operator="lessThan">
      <formula>0</formula>
    </cfRule>
    <cfRule type="cellIs" dxfId="1533" priority="1703" operator="equal">
      <formula>0</formula>
    </cfRule>
  </conditionalFormatting>
  <conditionalFormatting sqref="H17">
    <cfRule type="cellIs" dxfId="1532" priority="1701" operator="lessThanOrEqual">
      <formula>0</formula>
    </cfRule>
  </conditionalFormatting>
  <conditionalFormatting sqref="M17">
    <cfRule type="expression" dxfId="1531" priority="1695">
      <formula>AND(M17=0,L17&lt;&gt;"")</formula>
    </cfRule>
  </conditionalFormatting>
  <conditionalFormatting sqref="L17">
    <cfRule type="expression" dxfId="1530" priority="1696">
      <formula>AND(L17="",M17&gt;0)</formula>
    </cfRule>
  </conditionalFormatting>
  <conditionalFormatting sqref="L17:M17">
    <cfRule type="cellIs" dxfId="1529" priority="1697" operator="equal">
      <formula>0</formula>
    </cfRule>
  </conditionalFormatting>
  <conditionalFormatting sqref="R17">
    <cfRule type="containsText" dxfId="1528" priority="1694" operator="containsText" text="Error">
      <formula>NOT(ISERROR(SEARCH("Error",R17)))</formula>
    </cfRule>
  </conditionalFormatting>
  <conditionalFormatting sqref="N17">
    <cfRule type="expression" dxfId="1527" priority="1693">
      <formula>ISNUMBER(N17)=FALSE</formula>
    </cfRule>
  </conditionalFormatting>
  <conditionalFormatting sqref="D18:E18">
    <cfRule type="containsBlanks" dxfId="1526" priority="1692">
      <formula>LEN(TRIM(D18))=0</formula>
    </cfRule>
  </conditionalFormatting>
  <conditionalFormatting sqref="H18 K18">
    <cfRule type="expression" dxfId="1525" priority="1690">
      <formula>ISNUMBER(H18)=FALSE</formula>
    </cfRule>
  </conditionalFormatting>
  <conditionalFormatting sqref="F18:K18">
    <cfRule type="containsBlanks" dxfId="1524" priority="1687">
      <formula>LEN(TRIM(F18))=0</formula>
    </cfRule>
  </conditionalFormatting>
  <conditionalFormatting sqref="B18:C18">
    <cfRule type="containsBlanks" dxfId="1523" priority="1688">
      <formula>LEN(TRIM(B18))=0</formula>
    </cfRule>
  </conditionalFormatting>
  <conditionalFormatting sqref="K18">
    <cfRule type="cellIs" dxfId="1522" priority="1686" operator="lessThan">
      <formula>0</formula>
    </cfRule>
    <cfRule type="cellIs" dxfId="1521" priority="1691" operator="equal">
      <formula>0</formula>
    </cfRule>
  </conditionalFormatting>
  <conditionalFormatting sqref="H18">
    <cfRule type="cellIs" dxfId="1520" priority="1689" operator="lessThanOrEqual">
      <formula>0</formula>
    </cfRule>
  </conditionalFormatting>
  <conditionalFormatting sqref="M18">
    <cfRule type="expression" dxfId="1519" priority="1683">
      <formula>AND(M18=0,L18&lt;&gt;"")</formula>
    </cfRule>
  </conditionalFormatting>
  <conditionalFormatting sqref="L18">
    <cfRule type="expression" dxfId="1518" priority="1684">
      <formula>AND(L18="",M18&gt;0)</formula>
    </cfRule>
  </conditionalFormatting>
  <conditionalFormatting sqref="L18:M18">
    <cfRule type="cellIs" dxfId="1517" priority="1685" operator="equal">
      <formula>0</formula>
    </cfRule>
  </conditionalFormatting>
  <conditionalFormatting sqref="R18">
    <cfRule type="containsText" dxfId="1516" priority="1682" operator="containsText" text="Error">
      <formula>NOT(ISERROR(SEARCH("Error",R18)))</formula>
    </cfRule>
  </conditionalFormatting>
  <conditionalFormatting sqref="N18">
    <cfRule type="expression" dxfId="1515" priority="1681">
      <formula>ISNUMBER(N18)=FALSE</formula>
    </cfRule>
  </conditionalFormatting>
  <conditionalFormatting sqref="D19:E19">
    <cfRule type="containsBlanks" dxfId="1514" priority="1680">
      <formula>LEN(TRIM(D19))=0</formula>
    </cfRule>
  </conditionalFormatting>
  <conditionalFormatting sqref="H19 K19">
    <cfRule type="expression" dxfId="1513" priority="1678">
      <formula>ISNUMBER(H19)=FALSE</formula>
    </cfRule>
  </conditionalFormatting>
  <conditionalFormatting sqref="F19:K19">
    <cfRule type="containsBlanks" dxfId="1512" priority="1675">
      <formula>LEN(TRIM(F19))=0</formula>
    </cfRule>
  </conditionalFormatting>
  <conditionalFormatting sqref="B19:C19">
    <cfRule type="containsBlanks" dxfId="1511" priority="1676">
      <formula>LEN(TRIM(B19))=0</formula>
    </cfRule>
  </conditionalFormatting>
  <conditionalFormatting sqref="K19">
    <cfRule type="cellIs" dxfId="1510" priority="1674" operator="lessThan">
      <formula>0</formula>
    </cfRule>
    <cfRule type="cellIs" dxfId="1509" priority="1679" operator="equal">
      <formula>0</formula>
    </cfRule>
  </conditionalFormatting>
  <conditionalFormatting sqref="H19">
    <cfRule type="cellIs" dxfId="1508" priority="1677" operator="lessThanOrEqual">
      <formula>0</formula>
    </cfRule>
  </conditionalFormatting>
  <conditionalFormatting sqref="M19">
    <cfRule type="expression" dxfId="1507" priority="1671">
      <formula>AND(M19=0,L19&lt;&gt;"")</formula>
    </cfRule>
  </conditionalFormatting>
  <conditionalFormatting sqref="L19">
    <cfRule type="expression" dxfId="1506" priority="1672">
      <formula>AND(L19="",M19&gt;0)</formula>
    </cfRule>
  </conditionalFormatting>
  <conditionalFormatting sqref="L19:M19">
    <cfRule type="cellIs" dxfId="1505" priority="1673" operator="equal">
      <formula>0</formula>
    </cfRule>
  </conditionalFormatting>
  <conditionalFormatting sqref="R19">
    <cfRule type="containsText" dxfId="1504" priority="1670" operator="containsText" text="Error">
      <formula>NOT(ISERROR(SEARCH("Error",R19)))</formula>
    </cfRule>
  </conditionalFormatting>
  <conditionalFormatting sqref="N19">
    <cfRule type="expression" dxfId="1503" priority="1669">
      <formula>ISNUMBER(N19)=FALSE</formula>
    </cfRule>
  </conditionalFormatting>
  <conditionalFormatting sqref="D22:E22">
    <cfRule type="containsBlanks" dxfId="1502" priority="1668">
      <formula>LEN(TRIM(D22))=0</formula>
    </cfRule>
  </conditionalFormatting>
  <conditionalFormatting sqref="H22 K22">
    <cfRule type="expression" dxfId="1501" priority="1666">
      <formula>ISNUMBER(H22)=FALSE</formula>
    </cfRule>
  </conditionalFormatting>
  <conditionalFormatting sqref="F22:K22">
    <cfRule type="containsBlanks" dxfId="1500" priority="1663">
      <formula>LEN(TRIM(F22))=0</formula>
    </cfRule>
  </conditionalFormatting>
  <conditionalFormatting sqref="B22:C22">
    <cfRule type="containsBlanks" dxfId="1499" priority="1664">
      <formula>LEN(TRIM(B22))=0</formula>
    </cfRule>
  </conditionalFormatting>
  <conditionalFormatting sqref="K22">
    <cfRule type="cellIs" dxfId="1498" priority="1662" operator="lessThan">
      <formula>0</formula>
    </cfRule>
    <cfRule type="cellIs" dxfId="1497" priority="1667" operator="equal">
      <formula>0</formula>
    </cfRule>
  </conditionalFormatting>
  <conditionalFormatting sqref="H22">
    <cfRule type="cellIs" dxfId="1496" priority="1665" operator="lessThanOrEqual">
      <formula>0</formula>
    </cfRule>
  </conditionalFormatting>
  <conditionalFormatting sqref="M22">
    <cfRule type="expression" dxfId="1495" priority="1659">
      <formula>AND(M22=0,L22&lt;&gt;"")</formula>
    </cfRule>
  </conditionalFormatting>
  <conditionalFormatting sqref="L22">
    <cfRule type="expression" dxfId="1494" priority="1660">
      <formula>AND(L22="",M22&gt;0)</formula>
    </cfRule>
  </conditionalFormatting>
  <conditionalFormatting sqref="L22:M22">
    <cfRule type="cellIs" dxfId="1493" priority="1661" operator="equal">
      <formula>0</formula>
    </cfRule>
  </conditionalFormatting>
  <conditionalFormatting sqref="R22">
    <cfRule type="containsText" dxfId="1492" priority="1658" operator="containsText" text="Error">
      <formula>NOT(ISERROR(SEARCH("Error",R22)))</formula>
    </cfRule>
  </conditionalFormatting>
  <conditionalFormatting sqref="N22">
    <cfRule type="expression" dxfId="1491" priority="1657">
      <formula>ISNUMBER(N22)=FALSE</formula>
    </cfRule>
  </conditionalFormatting>
  <conditionalFormatting sqref="D23:E23">
    <cfRule type="containsBlanks" dxfId="1490" priority="1656">
      <formula>LEN(TRIM(D23))=0</formula>
    </cfRule>
  </conditionalFormatting>
  <conditionalFormatting sqref="H23 K23">
    <cfRule type="expression" dxfId="1489" priority="1654">
      <formula>ISNUMBER(H23)=FALSE</formula>
    </cfRule>
  </conditionalFormatting>
  <conditionalFormatting sqref="F23:K23">
    <cfRule type="containsBlanks" dxfId="1488" priority="1651">
      <formula>LEN(TRIM(F23))=0</formula>
    </cfRule>
  </conditionalFormatting>
  <conditionalFormatting sqref="B23:C23">
    <cfRule type="containsBlanks" dxfId="1487" priority="1652">
      <formula>LEN(TRIM(B23))=0</formula>
    </cfRule>
  </conditionalFormatting>
  <conditionalFormatting sqref="K23">
    <cfRule type="cellIs" dxfId="1486" priority="1650" operator="lessThan">
      <formula>0</formula>
    </cfRule>
    <cfRule type="cellIs" dxfId="1485" priority="1655" operator="equal">
      <formula>0</formula>
    </cfRule>
  </conditionalFormatting>
  <conditionalFormatting sqref="H23">
    <cfRule type="cellIs" dxfId="1484" priority="1653" operator="lessThanOrEqual">
      <formula>0</formula>
    </cfRule>
  </conditionalFormatting>
  <conditionalFormatting sqref="M23">
    <cfRule type="expression" dxfId="1483" priority="1647">
      <formula>AND(M23=0,L23&lt;&gt;"")</formula>
    </cfRule>
  </conditionalFormatting>
  <conditionalFormatting sqref="L23">
    <cfRule type="expression" dxfId="1482" priority="1648">
      <formula>AND(L23="",M23&gt;0)</formula>
    </cfRule>
  </conditionalFormatting>
  <conditionalFormatting sqref="L23:M23">
    <cfRule type="cellIs" dxfId="1481" priority="1649" operator="equal">
      <formula>0</formula>
    </cfRule>
  </conditionalFormatting>
  <conditionalFormatting sqref="R23">
    <cfRule type="containsText" dxfId="1480" priority="1646" operator="containsText" text="Error">
      <formula>NOT(ISERROR(SEARCH("Error",R23)))</formula>
    </cfRule>
  </conditionalFormatting>
  <conditionalFormatting sqref="N23">
    <cfRule type="expression" dxfId="1479" priority="1645">
      <formula>ISNUMBER(N23)=FALSE</formula>
    </cfRule>
  </conditionalFormatting>
  <conditionalFormatting sqref="D26:E26">
    <cfRule type="containsBlanks" dxfId="1478" priority="1644">
      <formula>LEN(TRIM(D26))=0</formula>
    </cfRule>
  </conditionalFormatting>
  <conditionalFormatting sqref="H26 K26">
    <cfRule type="expression" dxfId="1477" priority="1642">
      <formula>ISNUMBER(H26)=FALSE</formula>
    </cfRule>
  </conditionalFormatting>
  <conditionalFormatting sqref="F26:K26">
    <cfRule type="containsBlanks" dxfId="1476" priority="1639">
      <formula>LEN(TRIM(F26))=0</formula>
    </cfRule>
  </conditionalFormatting>
  <conditionalFormatting sqref="B26:C26">
    <cfRule type="containsBlanks" dxfId="1475" priority="1640">
      <formula>LEN(TRIM(B26))=0</formula>
    </cfRule>
  </conditionalFormatting>
  <conditionalFormatting sqref="K26">
    <cfRule type="cellIs" dxfId="1474" priority="1638" operator="lessThan">
      <formula>0</formula>
    </cfRule>
    <cfRule type="cellIs" dxfId="1473" priority="1643" operator="equal">
      <formula>0</formula>
    </cfRule>
  </conditionalFormatting>
  <conditionalFormatting sqref="H26">
    <cfRule type="cellIs" dxfId="1472" priority="1641" operator="lessThanOrEqual">
      <formula>0</formula>
    </cfRule>
  </conditionalFormatting>
  <conditionalFormatting sqref="M26">
    <cfRule type="expression" dxfId="1471" priority="1635">
      <formula>AND(M26=0,L26&lt;&gt;"")</formula>
    </cfRule>
  </conditionalFormatting>
  <conditionalFormatting sqref="L26">
    <cfRule type="expression" dxfId="1470" priority="1636">
      <formula>AND(L26="",M26&gt;0)</formula>
    </cfRule>
  </conditionalFormatting>
  <conditionalFormatting sqref="L26:M26">
    <cfRule type="cellIs" dxfId="1469" priority="1637" operator="equal">
      <formula>0</formula>
    </cfRule>
  </conditionalFormatting>
  <conditionalFormatting sqref="R26">
    <cfRule type="containsText" dxfId="1468" priority="1634" operator="containsText" text="Error">
      <formula>NOT(ISERROR(SEARCH("Error",R26)))</formula>
    </cfRule>
  </conditionalFormatting>
  <conditionalFormatting sqref="N26">
    <cfRule type="expression" dxfId="1467" priority="1633">
      <formula>ISNUMBER(N26)=FALSE</formula>
    </cfRule>
  </conditionalFormatting>
  <conditionalFormatting sqref="D27:E27">
    <cfRule type="containsBlanks" dxfId="1466" priority="1632">
      <formula>LEN(TRIM(D27))=0</formula>
    </cfRule>
  </conditionalFormatting>
  <conditionalFormatting sqref="H27 K27">
    <cfRule type="expression" dxfId="1465" priority="1630">
      <formula>ISNUMBER(H27)=FALSE</formula>
    </cfRule>
  </conditionalFormatting>
  <conditionalFormatting sqref="F27:K27">
    <cfRule type="containsBlanks" dxfId="1464" priority="1627">
      <formula>LEN(TRIM(F27))=0</formula>
    </cfRule>
  </conditionalFormatting>
  <conditionalFormatting sqref="B27:C27">
    <cfRule type="containsBlanks" dxfId="1463" priority="1628">
      <formula>LEN(TRIM(B27))=0</formula>
    </cfRule>
  </conditionalFormatting>
  <conditionalFormatting sqref="K27">
    <cfRule type="cellIs" dxfId="1462" priority="1626" operator="lessThan">
      <formula>0</formula>
    </cfRule>
    <cfRule type="cellIs" dxfId="1461" priority="1631" operator="equal">
      <formula>0</formula>
    </cfRule>
  </conditionalFormatting>
  <conditionalFormatting sqref="H27">
    <cfRule type="cellIs" dxfId="1460" priority="1629" operator="lessThanOrEqual">
      <formula>0</formula>
    </cfRule>
  </conditionalFormatting>
  <conditionalFormatting sqref="M27">
    <cfRule type="expression" dxfId="1459" priority="1623">
      <formula>AND(M27=0,L27&lt;&gt;"")</formula>
    </cfRule>
  </conditionalFormatting>
  <conditionalFormatting sqref="L27">
    <cfRule type="expression" dxfId="1458" priority="1624">
      <formula>AND(L27="",M27&gt;0)</formula>
    </cfRule>
  </conditionalFormatting>
  <conditionalFormatting sqref="L27:M27">
    <cfRule type="cellIs" dxfId="1457" priority="1625" operator="equal">
      <formula>0</formula>
    </cfRule>
  </conditionalFormatting>
  <conditionalFormatting sqref="R27">
    <cfRule type="containsText" dxfId="1456" priority="1622" operator="containsText" text="Error">
      <formula>NOT(ISERROR(SEARCH("Error",R27)))</formula>
    </cfRule>
  </conditionalFormatting>
  <conditionalFormatting sqref="N27">
    <cfRule type="expression" dxfId="1455" priority="1621">
      <formula>ISNUMBER(N27)=FALSE</formula>
    </cfRule>
  </conditionalFormatting>
  <conditionalFormatting sqref="D32:E32">
    <cfRule type="containsBlanks" dxfId="1454" priority="1620">
      <formula>LEN(TRIM(D32))=0</formula>
    </cfRule>
  </conditionalFormatting>
  <conditionalFormatting sqref="H32 K32">
    <cfRule type="expression" dxfId="1453" priority="1618">
      <formula>ISNUMBER(H32)=FALSE</formula>
    </cfRule>
  </conditionalFormatting>
  <conditionalFormatting sqref="F32:K32">
    <cfRule type="containsBlanks" dxfId="1452" priority="1615">
      <formula>LEN(TRIM(F32))=0</formula>
    </cfRule>
  </conditionalFormatting>
  <conditionalFormatting sqref="B32:C32">
    <cfRule type="containsBlanks" dxfId="1451" priority="1616">
      <formula>LEN(TRIM(B32))=0</formula>
    </cfRule>
  </conditionalFormatting>
  <conditionalFormatting sqref="K32">
    <cfRule type="cellIs" dxfId="1450" priority="1614" operator="lessThan">
      <formula>0</formula>
    </cfRule>
    <cfRule type="cellIs" dxfId="1449" priority="1619" operator="equal">
      <formula>0</formula>
    </cfRule>
  </conditionalFormatting>
  <conditionalFormatting sqref="H32">
    <cfRule type="cellIs" dxfId="1448" priority="1617" operator="lessThanOrEqual">
      <formula>0</formula>
    </cfRule>
  </conditionalFormatting>
  <conditionalFormatting sqref="M32">
    <cfRule type="expression" dxfId="1447" priority="1611">
      <formula>AND(M32=0,L32&lt;&gt;"")</formula>
    </cfRule>
  </conditionalFormatting>
  <conditionalFormatting sqref="L32">
    <cfRule type="expression" dxfId="1446" priority="1612">
      <formula>AND(L32="",M32&gt;0)</formula>
    </cfRule>
  </conditionalFormatting>
  <conditionalFormatting sqref="L32:M32">
    <cfRule type="cellIs" dxfId="1445" priority="1613" operator="equal">
      <formula>0</formula>
    </cfRule>
  </conditionalFormatting>
  <conditionalFormatting sqref="R32">
    <cfRule type="containsText" dxfId="1444" priority="1610" operator="containsText" text="Error">
      <formula>NOT(ISERROR(SEARCH("Error",R32)))</formula>
    </cfRule>
  </conditionalFormatting>
  <conditionalFormatting sqref="N32">
    <cfRule type="expression" dxfId="1443" priority="1609">
      <formula>ISNUMBER(N32)=FALSE</formula>
    </cfRule>
  </conditionalFormatting>
  <conditionalFormatting sqref="D33:E33">
    <cfRule type="containsBlanks" dxfId="1442" priority="1608">
      <formula>LEN(TRIM(D33))=0</formula>
    </cfRule>
  </conditionalFormatting>
  <conditionalFormatting sqref="H33 K33">
    <cfRule type="expression" dxfId="1441" priority="1606">
      <formula>ISNUMBER(H33)=FALSE</formula>
    </cfRule>
  </conditionalFormatting>
  <conditionalFormatting sqref="F33:K33">
    <cfRule type="containsBlanks" dxfId="1440" priority="1603">
      <formula>LEN(TRIM(F33))=0</formula>
    </cfRule>
  </conditionalFormatting>
  <conditionalFormatting sqref="B33:C33">
    <cfRule type="containsBlanks" dxfId="1439" priority="1604">
      <formula>LEN(TRIM(B33))=0</formula>
    </cfRule>
  </conditionalFormatting>
  <conditionalFormatting sqref="K33">
    <cfRule type="cellIs" dxfId="1438" priority="1602" operator="lessThan">
      <formula>0</formula>
    </cfRule>
    <cfRule type="cellIs" dxfId="1437" priority="1607" operator="equal">
      <formula>0</formula>
    </cfRule>
  </conditionalFormatting>
  <conditionalFormatting sqref="H33">
    <cfRule type="cellIs" dxfId="1436" priority="1605" operator="lessThanOrEqual">
      <formula>0</formula>
    </cfRule>
  </conditionalFormatting>
  <conditionalFormatting sqref="M33">
    <cfRule type="expression" dxfId="1435" priority="1599">
      <formula>AND(M33=0,L33&lt;&gt;"")</formula>
    </cfRule>
  </conditionalFormatting>
  <conditionalFormatting sqref="L33">
    <cfRule type="expression" dxfId="1434" priority="1600">
      <formula>AND(L33="",M33&gt;0)</formula>
    </cfRule>
  </conditionalFormatting>
  <conditionalFormatting sqref="L33:M33">
    <cfRule type="cellIs" dxfId="1433" priority="1601" operator="equal">
      <formula>0</formula>
    </cfRule>
  </conditionalFormatting>
  <conditionalFormatting sqref="R33">
    <cfRule type="containsText" dxfId="1432" priority="1598" operator="containsText" text="Error">
      <formula>NOT(ISERROR(SEARCH("Error",R33)))</formula>
    </cfRule>
  </conditionalFormatting>
  <conditionalFormatting sqref="N33">
    <cfRule type="expression" dxfId="1431" priority="1597">
      <formula>ISNUMBER(N33)=FALSE</formula>
    </cfRule>
  </conditionalFormatting>
  <conditionalFormatting sqref="D34:E34">
    <cfRule type="containsBlanks" dxfId="1430" priority="1596">
      <formula>LEN(TRIM(D34))=0</formula>
    </cfRule>
  </conditionalFormatting>
  <conditionalFormatting sqref="H34 K34">
    <cfRule type="expression" dxfId="1429" priority="1594">
      <formula>ISNUMBER(H34)=FALSE</formula>
    </cfRule>
  </conditionalFormatting>
  <conditionalFormatting sqref="F34:K34">
    <cfRule type="containsBlanks" dxfId="1428" priority="1591">
      <formula>LEN(TRIM(F34))=0</formula>
    </cfRule>
  </conditionalFormatting>
  <conditionalFormatting sqref="B34:C34">
    <cfRule type="containsBlanks" dxfId="1427" priority="1592">
      <formula>LEN(TRIM(B34))=0</formula>
    </cfRule>
  </conditionalFormatting>
  <conditionalFormatting sqref="K34">
    <cfRule type="cellIs" dxfId="1426" priority="1590" operator="lessThan">
      <formula>0</formula>
    </cfRule>
    <cfRule type="cellIs" dxfId="1425" priority="1595" operator="equal">
      <formula>0</formula>
    </cfRule>
  </conditionalFormatting>
  <conditionalFormatting sqref="H34">
    <cfRule type="cellIs" dxfId="1424" priority="1593" operator="lessThanOrEqual">
      <formula>0</formula>
    </cfRule>
  </conditionalFormatting>
  <conditionalFormatting sqref="M34">
    <cfRule type="expression" dxfId="1423" priority="1587">
      <formula>AND(M34=0,L34&lt;&gt;"")</formula>
    </cfRule>
  </conditionalFormatting>
  <conditionalFormatting sqref="L34">
    <cfRule type="expression" dxfId="1422" priority="1588">
      <formula>AND(L34="",M34&gt;0)</formula>
    </cfRule>
  </conditionalFormatting>
  <conditionalFormatting sqref="L34:M34">
    <cfRule type="cellIs" dxfId="1421" priority="1589" operator="equal">
      <formula>0</formula>
    </cfRule>
  </conditionalFormatting>
  <conditionalFormatting sqref="R34">
    <cfRule type="containsText" dxfId="1420" priority="1586" operator="containsText" text="Error">
      <formula>NOT(ISERROR(SEARCH("Error",R34)))</formula>
    </cfRule>
  </conditionalFormatting>
  <conditionalFormatting sqref="N34">
    <cfRule type="expression" dxfId="1419" priority="1585">
      <formula>ISNUMBER(N34)=FALSE</formula>
    </cfRule>
  </conditionalFormatting>
  <conditionalFormatting sqref="D35:E35">
    <cfRule type="containsBlanks" dxfId="1418" priority="1584">
      <formula>LEN(TRIM(D35))=0</formula>
    </cfRule>
  </conditionalFormatting>
  <conditionalFormatting sqref="H35 K35">
    <cfRule type="expression" dxfId="1417" priority="1582">
      <formula>ISNUMBER(H35)=FALSE</formula>
    </cfRule>
  </conditionalFormatting>
  <conditionalFormatting sqref="F35:K35">
    <cfRule type="containsBlanks" dxfId="1416" priority="1579">
      <formula>LEN(TRIM(F35))=0</formula>
    </cfRule>
  </conditionalFormatting>
  <conditionalFormatting sqref="B35:C35">
    <cfRule type="containsBlanks" dxfId="1415" priority="1580">
      <formula>LEN(TRIM(B35))=0</formula>
    </cfRule>
  </conditionalFormatting>
  <conditionalFormatting sqref="K35">
    <cfRule type="cellIs" dxfId="1414" priority="1578" operator="lessThan">
      <formula>0</formula>
    </cfRule>
    <cfRule type="cellIs" dxfId="1413" priority="1583" operator="equal">
      <formula>0</formula>
    </cfRule>
  </conditionalFormatting>
  <conditionalFormatting sqref="H35">
    <cfRule type="cellIs" dxfId="1412" priority="1581" operator="lessThanOrEqual">
      <formula>0</formula>
    </cfRule>
  </conditionalFormatting>
  <conditionalFormatting sqref="M35">
    <cfRule type="expression" dxfId="1411" priority="1575">
      <formula>AND(M35=0,L35&lt;&gt;"")</formula>
    </cfRule>
  </conditionalFormatting>
  <conditionalFormatting sqref="L35">
    <cfRule type="expression" dxfId="1410" priority="1576">
      <formula>AND(L35="",M35&gt;0)</formula>
    </cfRule>
  </conditionalFormatting>
  <conditionalFormatting sqref="L35:M35">
    <cfRule type="cellIs" dxfId="1409" priority="1577" operator="equal">
      <formula>0</formula>
    </cfRule>
  </conditionalFormatting>
  <conditionalFormatting sqref="R35">
    <cfRule type="containsText" dxfId="1408" priority="1574" operator="containsText" text="Error">
      <formula>NOT(ISERROR(SEARCH("Error",R35)))</formula>
    </cfRule>
  </conditionalFormatting>
  <conditionalFormatting sqref="N35">
    <cfRule type="expression" dxfId="1407" priority="1573">
      <formula>ISNUMBER(N35)=FALSE</formula>
    </cfRule>
  </conditionalFormatting>
  <conditionalFormatting sqref="D38:E38">
    <cfRule type="containsBlanks" dxfId="1406" priority="1572">
      <formula>LEN(TRIM(D38))=0</formula>
    </cfRule>
  </conditionalFormatting>
  <conditionalFormatting sqref="H38 K38">
    <cfRule type="expression" dxfId="1405" priority="1570">
      <formula>ISNUMBER(H38)=FALSE</formula>
    </cfRule>
  </conditionalFormatting>
  <conditionalFormatting sqref="F38:K38">
    <cfRule type="containsBlanks" dxfId="1404" priority="1567">
      <formula>LEN(TRIM(F38))=0</formula>
    </cfRule>
  </conditionalFormatting>
  <conditionalFormatting sqref="B38:C38">
    <cfRule type="containsBlanks" dxfId="1403" priority="1568">
      <formula>LEN(TRIM(B38))=0</formula>
    </cfRule>
  </conditionalFormatting>
  <conditionalFormatting sqref="K38">
    <cfRule type="cellIs" dxfId="1402" priority="1566" operator="lessThan">
      <formula>0</formula>
    </cfRule>
    <cfRule type="cellIs" dxfId="1401" priority="1571" operator="equal">
      <formula>0</formula>
    </cfRule>
  </conditionalFormatting>
  <conditionalFormatting sqref="H38">
    <cfRule type="cellIs" dxfId="1400" priority="1569" operator="lessThanOrEqual">
      <formula>0</formula>
    </cfRule>
  </conditionalFormatting>
  <conditionalFormatting sqref="M38">
    <cfRule type="expression" dxfId="1399" priority="1563">
      <formula>AND(M38=0,L38&lt;&gt;"")</formula>
    </cfRule>
  </conditionalFormatting>
  <conditionalFormatting sqref="L38">
    <cfRule type="expression" dxfId="1398" priority="1564">
      <formula>AND(L38="",M38&gt;0)</formula>
    </cfRule>
  </conditionalFormatting>
  <conditionalFormatting sqref="L38:M38">
    <cfRule type="cellIs" dxfId="1397" priority="1565" operator="equal">
      <formula>0</formula>
    </cfRule>
  </conditionalFormatting>
  <conditionalFormatting sqref="R38">
    <cfRule type="containsText" dxfId="1396" priority="1562" operator="containsText" text="Error">
      <formula>NOT(ISERROR(SEARCH("Error",R38)))</formula>
    </cfRule>
  </conditionalFormatting>
  <conditionalFormatting sqref="N38">
    <cfRule type="expression" dxfId="1395" priority="1561">
      <formula>ISNUMBER(N38)=FALSE</formula>
    </cfRule>
  </conditionalFormatting>
  <conditionalFormatting sqref="D39:E39">
    <cfRule type="containsBlanks" dxfId="1394" priority="1560">
      <formula>LEN(TRIM(D39))=0</formula>
    </cfRule>
  </conditionalFormatting>
  <conditionalFormatting sqref="H39 K39">
    <cfRule type="expression" dxfId="1393" priority="1558">
      <formula>ISNUMBER(H39)=FALSE</formula>
    </cfRule>
  </conditionalFormatting>
  <conditionalFormatting sqref="F39:K39">
    <cfRule type="containsBlanks" dxfId="1392" priority="1555">
      <formula>LEN(TRIM(F39))=0</formula>
    </cfRule>
  </conditionalFormatting>
  <conditionalFormatting sqref="B39:C39">
    <cfRule type="containsBlanks" dxfId="1391" priority="1556">
      <formula>LEN(TRIM(B39))=0</formula>
    </cfRule>
  </conditionalFormatting>
  <conditionalFormatting sqref="K39">
    <cfRule type="cellIs" dxfId="1390" priority="1554" operator="lessThan">
      <formula>0</formula>
    </cfRule>
    <cfRule type="cellIs" dxfId="1389" priority="1559" operator="equal">
      <formula>0</formula>
    </cfRule>
  </conditionalFormatting>
  <conditionalFormatting sqref="H39">
    <cfRule type="cellIs" dxfId="1388" priority="1557" operator="lessThanOrEqual">
      <formula>0</formula>
    </cfRule>
  </conditionalFormatting>
  <conditionalFormatting sqref="M39">
    <cfRule type="expression" dxfId="1387" priority="1551">
      <formula>AND(M39=0,L39&lt;&gt;"")</formula>
    </cfRule>
  </conditionalFormatting>
  <conditionalFormatting sqref="L39">
    <cfRule type="expression" dxfId="1386" priority="1552">
      <formula>AND(L39="",M39&gt;0)</formula>
    </cfRule>
  </conditionalFormatting>
  <conditionalFormatting sqref="L39:M39">
    <cfRule type="cellIs" dxfId="1385" priority="1553" operator="equal">
      <formula>0</formula>
    </cfRule>
  </conditionalFormatting>
  <conditionalFormatting sqref="R39">
    <cfRule type="containsText" dxfId="1384" priority="1550" operator="containsText" text="Error">
      <formula>NOT(ISERROR(SEARCH("Error",R39)))</formula>
    </cfRule>
  </conditionalFormatting>
  <conditionalFormatting sqref="N39">
    <cfRule type="expression" dxfId="1383" priority="1549">
      <formula>ISNUMBER(N39)=FALSE</formula>
    </cfRule>
  </conditionalFormatting>
  <conditionalFormatting sqref="D42:E42">
    <cfRule type="containsBlanks" dxfId="1382" priority="1548">
      <formula>LEN(TRIM(D42))=0</formula>
    </cfRule>
  </conditionalFormatting>
  <conditionalFormatting sqref="H42 K42">
    <cfRule type="expression" dxfId="1381" priority="1546">
      <formula>ISNUMBER(H42)=FALSE</formula>
    </cfRule>
  </conditionalFormatting>
  <conditionalFormatting sqref="F42:K42">
    <cfRule type="containsBlanks" dxfId="1380" priority="1543">
      <formula>LEN(TRIM(F42))=0</formula>
    </cfRule>
  </conditionalFormatting>
  <conditionalFormatting sqref="B42:C42">
    <cfRule type="containsBlanks" dxfId="1379" priority="1544">
      <formula>LEN(TRIM(B42))=0</formula>
    </cfRule>
  </conditionalFormatting>
  <conditionalFormatting sqref="K42">
    <cfRule type="cellIs" dxfId="1378" priority="1542" operator="lessThan">
      <formula>0</formula>
    </cfRule>
    <cfRule type="cellIs" dxfId="1377" priority="1547" operator="equal">
      <formula>0</formula>
    </cfRule>
  </conditionalFormatting>
  <conditionalFormatting sqref="H42">
    <cfRule type="cellIs" dxfId="1376" priority="1545" operator="lessThanOrEqual">
      <formula>0</formula>
    </cfRule>
  </conditionalFormatting>
  <conditionalFormatting sqref="M42">
    <cfRule type="expression" dxfId="1375" priority="1539">
      <formula>AND(M42=0,L42&lt;&gt;"")</formula>
    </cfRule>
  </conditionalFormatting>
  <conditionalFormatting sqref="L42">
    <cfRule type="expression" dxfId="1374" priority="1540">
      <formula>AND(L42="",M42&gt;0)</formula>
    </cfRule>
  </conditionalFormatting>
  <conditionalFormatting sqref="L42:M42">
    <cfRule type="cellIs" dxfId="1373" priority="1541" operator="equal">
      <formula>0</formula>
    </cfRule>
  </conditionalFormatting>
  <conditionalFormatting sqref="R42">
    <cfRule type="containsText" dxfId="1372" priority="1538" operator="containsText" text="Error">
      <formula>NOT(ISERROR(SEARCH("Error",R42)))</formula>
    </cfRule>
  </conditionalFormatting>
  <conditionalFormatting sqref="N42">
    <cfRule type="expression" dxfId="1371" priority="1537">
      <formula>ISNUMBER(N42)=FALSE</formula>
    </cfRule>
  </conditionalFormatting>
  <conditionalFormatting sqref="D43:E43">
    <cfRule type="containsBlanks" dxfId="1370" priority="1536">
      <formula>LEN(TRIM(D43))=0</formula>
    </cfRule>
  </conditionalFormatting>
  <conditionalFormatting sqref="H43 K43">
    <cfRule type="expression" dxfId="1369" priority="1534">
      <formula>ISNUMBER(H43)=FALSE</formula>
    </cfRule>
  </conditionalFormatting>
  <conditionalFormatting sqref="F43:K43">
    <cfRule type="containsBlanks" dxfId="1368" priority="1531">
      <formula>LEN(TRIM(F43))=0</formula>
    </cfRule>
  </conditionalFormatting>
  <conditionalFormatting sqref="B43:C43">
    <cfRule type="containsBlanks" dxfId="1367" priority="1532">
      <formula>LEN(TRIM(B43))=0</formula>
    </cfRule>
  </conditionalFormatting>
  <conditionalFormatting sqref="K43">
    <cfRule type="cellIs" dxfId="1366" priority="1530" operator="lessThan">
      <formula>0</formula>
    </cfRule>
    <cfRule type="cellIs" dxfId="1365" priority="1535" operator="equal">
      <formula>0</formula>
    </cfRule>
  </conditionalFormatting>
  <conditionalFormatting sqref="H43">
    <cfRule type="cellIs" dxfId="1364" priority="1533" operator="lessThanOrEqual">
      <formula>0</formula>
    </cfRule>
  </conditionalFormatting>
  <conditionalFormatting sqref="M43">
    <cfRule type="expression" dxfId="1363" priority="1527">
      <formula>AND(M43=0,L43&lt;&gt;"")</formula>
    </cfRule>
  </conditionalFormatting>
  <conditionalFormatting sqref="L43">
    <cfRule type="expression" dxfId="1362" priority="1528">
      <formula>AND(L43="",M43&gt;0)</formula>
    </cfRule>
  </conditionalFormatting>
  <conditionalFormatting sqref="L43:M43">
    <cfRule type="cellIs" dxfId="1361" priority="1529" operator="equal">
      <formula>0</formula>
    </cfRule>
  </conditionalFormatting>
  <conditionalFormatting sqref="R43">
    <cfRule type="containsText" dxfId="1360" priority="1526" operator="containsText" text="Error">
      <formula>NOT(ISERROR(SEARCH("Error",R43)))</formula>
    </cfRule>
  </conditionalFormatting>
  <conditionalFormatting sqref="N43">
    <cfRule type="expression" dxfId="1359" priority="1525">
      <formula>ISNUMBER(N43)=FALSE</formula>
    </cfRule>
  </conditionalFormatting>
  <conditionalFormatting sqref="D46:E46">
    <cfRule type="containsBlanks" dxfId="1358" priority="1524">
      <formula>LEN(TRIM(D46))=0</formula>
    </cfRule>
  </conditionalFormatting>
  <conditionalFormatting sqref="H46 K46">
    <cfRule type="expression" dxfId="1357" priority="1522">
      <formula>ISNUMBER(H46)=FALSE</formula>
    </cfRule>
  </conditionalFormatting>
  <conditionalFormatting sqref="F46:K46">
    <cfRule type="containsBlanks" dxfId="1356" priority="1519">
      <formula>LEN(TRIM(F46))=0</formula>
    </cfRule>
  </conditionalFormatting>
  <conditionalFormatting sqref="B46:C46">
    <cfRule type="containsBlanks" dxfId="1355" priority="1520">
      <formula>LEN(TRIM(B46))=0</formula>
    </cfRule>
  </conditionalFormatting>
  <conditionalFormatting sqref="K46">
    <cfRule type="cellIs" dxfId="1354" priority="1518" operator="lessThan">
      <formula>0</formula>
    </cfRule>
    <cfRule type="cellIs" dxfId="1353" priority="1523" operator="equal">
      <formula>0</formula>
    </cfRule>
  </conditionalFormatting>
  <conditionalFormatting sqref="H46">
    <cfRule type="cellIs" dxfId="1352" priority="1521" operator="lessThanOrEqual">
      <formula>0</formula>
    </cfRule>
  </conditionalFormatting>
  <conditionalFormatting sqref="M46">
    <cfRule type="expression" dxfId="1351" priority="1515">
      <formula>AND(M46=0,L46&lt;&gt;"")</formula>
    </cfRule>
  </conditionalFormatting>
  <conditionalFormatting sqref="L46">
    <cfRule type="expression" dxfId="1350" priority="1516">
      <formula>AND(L46="",M46&gt;0)</formula>
    </cfRule>
  </conditionalFormatting>
  <conditionalFormatting sqref="L46:M46">
    <cfRule type="cellIs" dxfId="1349" priority="1517" operator="equal">
      <formula>0</formula>
    </cfRule>
  </conditionalFormatting>
  <conditionalFormatting sqref="R46">
    <cfRule type="containsText" dxfId="1348" priority="1514" operator="containsText" text="Error">
      <formula>NOT(ISERROR(SEARCH("Error",R46)))</formula>
    </cfRule>
  </conditionalFormatting>
  <conditionalFormatting sqref="N46">
    <cfRule type="expression" dxfId="1347" priority="1513">
      <formula>ISNUMBER(N46)=FALSE</formula>
    </cfRule>
  </conditionalFormatting>
  <conditionalFormatting sqref="D47:E47">
    <cfRule type="containsBlanks" dxfId="1346" priority="1512">
      <formula>LEN(TRIM(D47))=0</formula>
    </cfRule>
  </conditionalFormatting>
  <conditionalFormatting sqref="H47 K47">
    <cfRule type="expression" dxfId="1345" priority="1510">
      <formula>ISNUMBER(H47)=FALSE</formula>
    </cfRule>
  </conditionalFormatting>
  <conditionalFormatting sqref="F47:K47">
    <cfRule type="containsBlanks" dxfId="1344" priority="1507">
      <formula>LEN(TRIM(F47))=0</formula>
    </cfRule>
  </conditionalFormatting>
  <conditionalFormatting sqref="B47:C47">
    <cfRule type="containsBlanks" dxfId="1343" priority="1508">
      <formula>LEN(TRIM(B47))=0</formula>
    </cfRule>
  </conditionalFormatting>
  <conditionalFormatting sqref="K47">
    <cfRule type="cellIs" dxfId="1342" priority="1506" operator="lessThan">
      <formula>0</formula>
    </cfRule>
    <cfRule type="cellIs" dxfId="1341" priority="1511" operator="equal">
      <formula>0</formula>
    </cfRule>
  </conditionalFormatting>
  <conditionalFormatting sqref="H47">
    <cfRule type="cellIs" dxfId="1340" priority="1509" operator="lessThanOrEqual">
      <formula>0</formula>
    </cfRule>
  </conditionalFormatting>
  <conditionalFormatting sqref="M47">
    <cfRule type="expression" dxfId="1339" priority="1503">
      <formula>AND(M47=0,L47&lt;&gt;"")</formula>
    </cfRule>
  </conditionalFormatting>
  <conditionalFormatting sqref="L47">
    <cfRule type="expression" dxfId="1338" priority="1504">
      <formula>AND(L47="",M47&gt;0)</formula>
    </cfRule>
  </conditionalFormatting>
  <conditionalFormatting sqref="L47:M47">
    <cfRule type="cellIs" dxfId="1337" priority="1505" operator="equal">
      <formula>0</formula>
    </cfRule>
  </conditionalFormatting>
  <conditionalFormatting sqref="R47">
    <cfRule type="containsText" dxfId="1336" priority="1502" operator="containsText" text="Error">
      <formula>NOT(ISERROR(SEARCH("Error",R47)))</formula>
    </cfRule>
  </conditionalFormatting>
  <conditionalFormatting sqref="N47">
    <cfRule type="expression" dxfId="1335" priority="1501">
      <formula>ISNUMBER(N47)=FALSE</formula>
    </cfRule>
  </conditionalFormatting>
  <conditionalFormatting sqref="D50:E50">
    <cfRule type="containsBlanks" dxfId="1334" priority="1488">
      <formula>LEN(TRIM(D50))=0</formula>
    </cfRule>
  </conditionalFormatting>
  <conditionalFormatting sqref="H50 K50">
    <cfRule type="expression" dxfId="1333" priority="1486">
      <formula>ISNUMBER(H50)=FALSE</formula>
    </cfRule>
  </conditionalFormatting>
  <conditionalFormatting sqref="F50:K50">
    <cfRule type="containsBlanks" dxfId="1332" priority="1483">
      <formula>LEN(TRIM(F50))=0</formula>
    </cfRule>
  </conditionalFormatting>
  <conditionalFormatting sqref="B50:C50">
    <cfRule type="containsBlanks" dxfId="1331" priority="1484">
      <formula>LEN(TRIM(B50))=0</formula>
    </cfRule>
  </conditionalFormatting>
  <conditionalFormatting sqref="K50">
    <cfRule type="cellIs" dxfId="1330" priority="1482" operator="lessThan">
      <formula>0</formula>
    </cfRule>
    <cfRule type="cellIs" dxfId="1329" priority="1487" operator="equal">
      <formula>0</formula>
    </cfRule>
  </conditionalFormatting>
  <conditionalFormatting sqref="H50">
    <cfRule type="cellIs" dxfId="1328" priority="1485" operator="lessThanOrEqual">
      <formula>0</formula>
    </cfRule>
  </conditionalFormatting>
  <conditionalFormatting sqref="M50">
    <cfRule type="expression" dxfId="1327" priority="1479">
      <formula>AND(M50=0,L50&lt;&gt;"")</formula>
    </cfRule>
  </conditionalFormatting>
  <conditionalFormatting sqref="L50">
    <cfRule type="expression" dxfId="1326" priority="1480">
      <formula>AND(L50="",M50&gt;0)</formula>
    </cfRule>
  </conditionalFormatting>
  <conditionalFormatting sqref="L50:M50">
    <cfRule type="cellIs" dxfId="1325" priority="1481" operator="equal">
      <formula>0</formula>
    </cfRule>
  </conditionalFormatting>
  <conditionalFormatting sqref="R50">
    <cfRule type="containsText" dxfId="1324" priority="1478" operator="containsText" text="Error">
      <formula>NOT(ISERROR(SEARCH("Error",R50)))</formula>
    </cfRule>
  </conditionalFormatting>
  <conditionalFormatting sqref="N50">
    <cfRule type="expression" dxfId="1323" priority="1477">
      <formula>ISNUMBER(N50)=FALSE</formula>
    </cfRule>
  </conditionalFormatting>
  <conditionalFormatting sqref="D51:E51">
    <cfRule type="containsBlanks" dxfId="1322" priority="1476">
      <formula>LEN(TRIM(D51))=0</formula>
    </cfRule>
  </conditionalFormatting>
  <conditionalFormatting sqref="H51 K51">
    <cfRule type="expression" dxfId="1321" priority="1474">
      <formula>ISNUMBER(H51)=FALSE</formula>
    </cfRule>
  </conditionalFormatting>
  <conditionalFormatting sqref="F51:K51">
    <cfRule type="containsBlanks" dxfId="1320" priority="1471">
      <formula>LEN(TRIM(F51))=0</formula>
    </cfRule>
  </conditionalFormatting>
  <conditionalFormatting sqref="B51:C51">
    <cfRule type="containsBlanks" dxfId="1319" priority="1472">
      <formula>LEN(TRIM(B51))=0</formula>
    </cfRule>
  </conditionalFormatting>
  <conditionalFormatting sqref="K51">
    <cfRule type="cellIs" dxfId="1318" priority="1470" operator="lessThan">
      <formula>0</formula>
    </cfRule>
    <cfRule type="cellIs" dxfId="1317" priority="1475" operator="equal">
      <formula>0</formula>
    </cfRule>
  </conditionalFormatting>
  <conditionalFormatting sqref="H51">
    <cfRule type="cellIs" dxfId="1316" priority="1473" operator="lessThanOrEqual">
      <formula>0</formula>
    </cfRule>
  </conditionalFormatting>
  <conditionalFormatting sqref="M51">
    <cfRule type="expression" dxfId="1315" priority="1467">
      <formula>AND(M51=0,L51&lt;&gt;"")</formula>
    </cfRule>
  </conditionalFormatting>
  <conditionalFormatting sqref="L51">
    <cfRule type="expression" dxfId="1314" priority="1468">
      <formula>AND(L51="",M51&gt;0)</formula>
    </cfRule>
  </conditionalFormatting>
  <conditionalFormatting sqref="L51:M51">
    <cfRule type="cellIs" dxfId="1313" priority="1469" operator="equal">
      <formula>0</formula>
    </cfRule>
  </conditionalFormatting>
  <conditionalFormatting sqref="R51">
    <cfRule type="containsText" dxfId="1312" priority="1466" operator="containsText" text="Error">
      <formula>NOT(ISERROR(SEARCH("Error",R51)))</formula>
    </cfRule>
  </conditionalFormatting>
  <conditionalFormatting sqref="N51">
    <cfRule type="expression" dxfId="1311" priority="1465">
      <formula>ISNUMBER(N51)=FALSE</formula>
    </cfRule>
  </conditionalFormatting>
  <conditionalFormatting sqref="D52:E52">
    <cfRule type="containsBlanks" dxfId="1310" priority="1464">
      <formula>LEN(TRIM(D52))=0</formula>
    </cfRule>
  </conditionalFormatting>
  <conditionalFormatting sqref="H52 K52">
    <cfRule type="expression" dxfId="1309" priority="1462">
      <formula>ISNUMBER(H52)=FALSE</formula>
    </cfRule>
  </conditionalFormatting>
  <conditionalFormatting sqref="F52:K52">
    <cfRule type="containsBlanks" dxfId="1308" priority="1459">
      <formula>LEN(TRIM(F52))=0</formula>
    </cfRule>
  </conditionalFormatting>
  <conditionalFormatting sqref="B52:C52">
    <cfRule type="containsBlanks" dxfId="1307" priority="1460">
      <formula>LEN(TRIM(B52))=0</formula>
    </cfRule>
  </conditionalFormatting>
  <conditionalFormatting sqref="K52">
    <cfRule type="cellIs" dxfId="1306" priority="1458" operator="lessThan">
      <formula>0</formula>
    </cfRule>
    <cfRule type="cellIs" dxfId="1305" priority="1463" operator="equal">
      <formula>0</formula>
    </cfRule>
  </conditionalFormatting>
  <conditionalFormatting sqref="H52">
    <cfRule type="cellIs" dxfId="1304" priority="1461" operator="lessThanOrEqual">
      <formula>0</formula>
    </cfRule>
  </conditionalFormatting>
  <conditionalFormatting sqref="M52">
    <cfRule type="expression" dxfId="1303" priority="1455">
      <formula>AND(M52=0,L52&lt;&gt;"")</formula>
    </cfRule>
  </conditionalFormatting>
  <conditionalFormatting sqref="L52">
    <cfRule type="expression" dxfId="1302" priority="1456">
      <formula>AND(L52="",M52&gt;0)</formula>
    </cfRule>
  </conditionalFormatting>
  <conditionalFormatting sqref="L52:M52">
    <cfRule type="cellIs" dxfId="1301" priority="1457" operator="equal">
      <formula>0</formula>
    </cfRule>
  </conditionalFormatting>
  <conditionalFormatting sqref="R52">
    <cfRule type="containsText" dxfId="1300" priority="1454" operator="containsText" text="Error">
      <formula>NOT(ISERROR(SEARCH("Error",R52)))</formula>
    </cfRule>
  </conditionalFormatting>
  <conditionalFormatting sqref="N52">
    <cfRule type="expression" dxfId="1299" priority="1453">
      <formula>ISNUMBER(N52)=FALSE</formula>
    </cfRule>
  </conditionalFormatting>
  <conditionalFormatting sqref="D53:E53">
    <cfRule type="containsBlanks" dxfId="1298" priority="1452">
      <formula>LEN(TRIM(D53))=0</formula>
    </cfRule>
  </conditionalFormatting>
  <conditionalFormatting sqref="H53 K53">
    <cfRule type="expression" dxfId="1297" priority="1450">
      <formula>ISNUMBER(H53)=FALSE</formula>
    </cfRule>
  </conditionalFormatting>
  <conditionalFormatting sqref="F53:K53">
    <cfRule type="containsBlanks" dxfId="1296" priority="1447">
      <formula>LEN(TRIM(F53))=0</formula>
    </cfRule>
  </conditionalFormatting>
  <conditionalFormatting sqref="B53:C53">
    <cfRule type="containsBlanks" dxfId="1295" priority="1448">
      <formula>LEN(TRIM(B53))=0</formula>
    </cfRule>
  </conditionalFormatting>
  <conditionalFormatting sqref="K53">
    <cfRule type="cellIs" dxfId="1294" priority="1446" operator="lessThan">
      <formula>0</formula>
    </cfRule>
    <cfRule type="cellIs" dxfId="1293" priority="1451" operator="equal">
      <formula>0</formula>
    </cfRule>
  </conditionalFormatting>
  <conditionalFormatting sqref="H53">
    <cfRule type="cellIs" dxfId="1292" priority="1449" operator="lessThanOrEqual">
      <formula>0</formula>
    </cfRule>
  </conditionalFormatting>
  <conditionalFormatting sqref="M53">
    <cfRule type="expression" dxfId="1291" priority="1443">
      <formula>AND(M53=0,L53&lt;&gt;"")</formula>
    </cfRule>
  </conditionalFormatting>
  <conditionalFormatting sqref="L53">
    <cfRule type="expression" dxfId="1290" priority="1444">
      <formula>AND(L53="",M53&gt;0)</formula>
    </cfRule>
  </conditionalFormatting>
  <conditionalFormatting sqref="L53:M53">
    <cfRule type="cellIs" dxfId="1289" priority="1445" operator="equal">
      <formula>0</formula>
    </cfRule>
  </conditionalFormatting>
  <conditionalFormatting sqref="R53">
    <cfRule type="containsText" dxfId="1288" priority="1442" operator="containsText" text="Error">
      <formula>NOT(ISERROR(SEARCH("Error",R53)))</formula>
    </cfRule>
  </conditionalFormatting>
  <conditionalFormatting sqref="N53">
    <cfRule type="expression" dxfId="1287" priority="1441">
      <formula>ISNUMBER(N53)=FALSE</formula>
    </cfRule>
  </conditionalFormatting>
  <conditionalFormatting sqref="D54:E54">
    <cfRule type="containsBlanks" dxfId="1286" priority="1440">
      <formula>LEN(TRIM(D54))=0</formula>
    </cfRule>
  </conditionalFormatting>
  <conditionalFormatting sqref="H54:H56 K54:K81">
    <cfRule type="expression" dxfId="1285" priority="1438">
      <formula>ISNUMBER(H54)=FALSE</formula>
    </cfRule>
  </conditionalFormatting>
  <conditionalFormatting sqref="F54:K54 H55:H56 K55:K81">
    <cfRule type="containsBlanks" dxfId="1284" priority="1435">
      <formula>LEN(TRIM(F54))=0</formula>
    </cfRule>
  </conditionalFormatting>
  <conditionalFormatting sqref="B54:C54">
    <cfRule type="containsBlanks" dxfId="1283" priority="1436">
      <formula>LEN(TRIM(B54))=0</formula>
    </cfRule>
  </conditionalFormatting>
  <conditionalFormatting sqref="K54:K81">
    <cfRule type="cellIs" dxfId="1282" priority="1434" operator="lessThan">
      <formula>0</formula>
    </cfRule>
    <cfRule type="cellIs" dxfId="1281" priority="1439" operator="equal">
      <formula>0</formula>
    </cfRule>
  </conditionalFormatting>
  <conditionalFormatting sqref="H54:H56">
    <cfRule type="cellIs" dxfId="1280" priority="1437" operator="lessThanOrEqual">
      <formula>0</formula>
    </cfRule>
  </conditionalFormatting>
  <conditionalFormatting sqref="M54">
    <cfRule type="expression" dxfId="1279" priority="1431">
      <formula>AND(M54=0,L54&lt;&gt;"")</formula>
    </cfRule>
  </conditionalFormatting>
  <conditionalFormatting sqref="L54">
    <cfRule type="expression" dxfId="1278" priority="1432">
      <formula>AND(L54="",M54&gt;0)</formula>
    </cfRule>
  </conditionalFormatting>
  <conditionalFormatting sqref="L54:M54">
    <cfRule type="cellIs" dxfId="1277" priority="1433" operator="equal">
      <formula>0</formula>
    </cfRule>
  </conditionalFormatting>
  <conditionalFormatting sqref="R54">
    <cfRule type="containsText" dxfId="1276" priority="1430" operator="containsText" text="Error">
      <formula>NOT(ISERROR(SEARCH("Error",R54)))</formula>
    </cfRule>
  </conditionalFormatting>
  <conditionalFormatting sqref="N54">
    <cfRule type="expression" dxfId="1275" priority="1429">
      <formula>ISNUMBER(N54)=FALSE</formula>
    </cfRule>
  </conditionalFormatting>
  <conditionalFormatting sqref="D55:E55">
    <cfRule type="containsBlanks" dxfId="1274" priority="1428">
      <formula>LEN(TRIM(D55))=0</formula>
    </cfRule>
  </conditionalFormatting>
  <conditionalFormatting sqref="H36 K36">
    <cfRule type="expression" dxfId="1273" priority="1402">
      <formula>ISNUMBER(H36)=FALSE</formula>
    </cfRule>
  </conditionalFormatting>
  <conditionalFormatting sqref="F55:G55 I55:J55">
    <cfRule type="containsBlanks" dxfId="1272" priority="1423">
      <formula>LEN(TRIM(F55))=0</formula>
    </cfRule>
  </conditionalFormatting>
  <conditionalFormatting sqref="B55:C55">
    <cfRule type="containsBlanks" dxfId="1271" priority="1424">
      <formula>LEN(TRIM(B55))=0</formula>
    </cfRule>
  </conditionalFormatting>
  <conditionalFormatting sqref="K36">
    <cfRule type="cellIs" dxfId="1270" priority="1398" operator="lessThan">
      <formula>0</formula>
    </cfRule>
    <cfRule type="cellIs" dxfId="1269" priority="1403" operator="equal">
      <formula>0</formula>
    </cfRule>
  </conditionalFormatting>
  <conditionalFormatting sqref="H36">
    <cfRule type="cellIs" dxfId="1268" priority="1401" operator="lessThanOrEqual">
      <formula>0</formula>
    </cfRule>
  </conditionalFormatting>
  <conditionalFormatting sqref="M55">
    <cfRule type="expression" dxfId="1267" priority="1419">
      <formula>AND(M55=0,L55&lt;&gt;"")</formula>
    </cfRule>
  </conditionalFormatting>
  <conditionalFormatting sqref="L55">
    <cfRule type="expression" dxfId="1266" priority="1420">
      <formula>AND(L55="",M55&gt;0)</formula>
    </cfRule>
  </conditionalFormatting>
  <conditionalFormatting sqref="L55:M55">
    <cfRule type="cellIs" dxfId="1265" priority="1421" operator="equal">
      <formula>0</formula>
    </cfRule>
  </conditionalFormatting>
  <conditionalFormatting sqref="R55">
    <cfRule type="containsText" dxfId="1264" priority="1418" operator="containsText" text="Error">
      <formula>NOT(ISERROR(SEARCH("Error",R55)))</formula>
    </cfRule>
  </conditionalFormatting>
  <conditionalFormatting sqref="N55">
    <cfRule type="expression" dxfId="1263" priority="1417">
      <formula>ISNUMBER(N55)=FALSE</formula>
    </cfRule>
  </conditionalFormatting>
  <conditionalFormatting sqref="D36:E36">
    <cfRule type="containsBlanks" dxfId="1262" priority="1404">
      <formula>LEN(TRIM(D36))=0</formula>
    </cfRule>
  </conditionalFormatting>
  <conditionalFormatting sqref="H37 K37">
    <cfRule type="expression" dxfId="1261" priority="1390">
      <formula>ISNUMBER(H37)=FALSE</formula>
    </cfRule>
  </conditionalFormatting>
  <conditionalFormatting sqref="F36:K36">
    <cfRule type="containsBlanks" dxfId="1260" priority="1399">
      <formula>LEN(TRIM(F36))=0</formula>
    </cfRule>
  </conditionalFormatting>
  <conditionalFormatting sqref="B36:C36">
    <cfRule type="containsBlanks" dxfId="1259" priority="1400">
      <formula>LEN(TRIM(B36))=0</formula>
    </cfRule>
  </conditionalFormatting>
  <conditionalFormatting sqref="K37">
    <cfRule type="cellIs" dxfId="1258" priority="1386" operator="lessThan">
      <formula>0</formula>
    </cfRule>
    <cfRule type="cellIs" dxfId="1257" priority="1391" operator="equal">
      <formula>0</formula>
    </cfRule>
  </conditionalFormatting>
  <conditionalFormatting sqref="H37">
    <cfRule type="cellIs" dxfId="1256" priority="1389" operator="lessThanOrEqual">
      <formula>0</formula>
    </cfRule>
  </conditionalFormatting>
  <conditionalFormatting sqref="M36">
    <cfRule type="expression" dxfId="1255" priority="1395">
      <formula>AND(M36=0,L36&lt;&gt;"")</formula>
    </cfRule>
  </conditionalFormatting>
  <conditionalFormatting sqref="L36">
    <cfRule type="expression" dxfId="1254" priority="1396">
      <formula>AND(L36="",M36&gt;0)</formula>
    </cfRule>
  </conditionalFormatting>
  <conditionalFormatting sqref="L36:M36">
    <cfRule type="cellIs" dxfId="1253" priority="1397" operator="equal">
      <formula>0</formula>
    </cfRule>
  </conditionalFormatting>
  <conditionalFormatting sqref="R36">
    <cfRule type="containsText" dxfId="1252" priority="1394" operator="containsText" text="Error">
      <formula>NOT(ISERROR(SEARCH("Error",R36)))</formula>
    </cfRule>
  </conditionalFormatting>
  <conditionalFormatting sqref="N36">
    <cfRule type="expression" dxfId="1251" priority="1393">
      <formula>ISNUMBER(N36)=FALSE</formula>
    </cfRule>
  </conditionalFormatting>
  <conditionalFormatting sqref="D37:E37">
    <cfRule type="containsBlanks" dxfId="1250" priority="1392">
      <formula>LEN(TRIM(D37))=0</formula>
    </cfRule>
  </conditionalFormatting>
  <conditionalFormatting sqref="H40 K40">
    <cfRule type="expression" dxfId="1249" priority="1378">
      <formula>ISNUMBER(H40)=FALSE</formula>
    </cfRule>
  </conditionalFormatting>
  <conditionalFormatting sqref="F37:K37">
    <cfRule type="containsBlanks" dxfId="1248" priority="1387">
      <formula>LEN(TRIM(F37))=0</formula>
    </cfRule>
  </conditionalFormatting>
  <conditionalFormatting sqref="B37:C37">
    <cfRule type="containsBlanks" dxfId="1247" priority="1388">
      <formula>LEN(TRIM(B37))=0</formula>
    </cfRule>
  </conditionalFormatting>
  <conditionalFormatting sqref="K40">
    <cfRule type="cellIs" dxfId="1246" priority="1374" operator="lessThan">
      <formula>0</formula>
    </cfRule>
    <cfRule type="cellIs" dxfId="1245" priority="1379" operator="equal">
      <formula>0</formula>
    </cfRule>
  </conditionalFormatting>
  <conditionalFormatting sqref="H40">
    <cfRule type="cellIs" dxfId="1244" priority="1377" operator="lessThanOrEqual">
      <formula>0</formula>
    </cfRule>
  </conditionalFormatting>
  <conditionalFormatting sqref="M37">
    <cfRule type="expression" dxfId="1243" priority="1383">
      <formula>AND(M37=0,L37&lt;&gt;"")</formula>
    </cfRule>
  </conditionalFormatting>
  <conditionalFormatting sqref="L37">
    <cfRule type="expression" dxfId="1242" priority="1384">
      <formula>AND(L37="",M37&gt;0)</formula>
    </cfRule>
  </conditionalFormatting>
  <conditionalFormatting sqref="L37:M37">
    <cfRule type="cellIs" dxfId="1241" priority="1385" operator="equal">
      <formula>0</formula>
    </cfRule>
  </conditionalFormatting>
  <conditionalFormatting sqref="R37">
    <cfRule type="containsText" dxfId="1240" priority="1382" operator="containsText" text="Error">
      <formula>NOT(ISERROR(SEARCH("Error",R37)))</formula>
    </cfRule>
  </conditionalFormatting>
  <conditionalFormatting sqref="N37">
    <cfRule type="expression" dxfId="1239" priority="1381">
      <formula>ISNUMBER(N37)=FALSE</formula>
    </cfRule>
  </conditionalFormatting>
  <conditionalFormatting sqref="D40:E40">
    <cfRule type="containsBlanks" dxfId="1238" priority="1380">
      <formula>LEN(TRIM(D40))=0</formula>
    </cfRule>
  </conditionalFormatting>
  <conditionalFormatting sqref="H41 K41">
    <cfRule type="expression" dxfId="1237" priority="1366">
      <formula>ISNUMBER(H41)=FALSE</formula>
    </cfRule>
  </conditionalFormatting>
  <conditionalFormatting sqref="F40:K40">
    <cfRule type="containsBlanks" dxfId="1236" priority="1375">
      <formula>LEN(TRIM(F40))=0</formula>
    </cfRule>
  </conditionalFormatting>
  <conditionalFormatting sqref="B40:C40">
    <cfRule type="containsBlanks" dxfId="1235" priority="1376">
      <formula>LEN(TRIM(B40))=0</formula>
    </cfRule>
  </conditionalFormatting>
  <conditionalFormatting sqref="K41">
    <cfRule type="cellIs" dxfId="1234" priority="1362" operator="lessThan">
      <formula>0</formula>
    </cfRule>
    <cfRule type="cellIs" dxfId="1233" priority="1367" operator="equal">
      <formula>0</formula>
    </cfRule>
  </conditionalFormatting>
  <conditionalFormatting sqref="H41">
    <cfRule type="cellIs" dxfId="1232" priority="1365" operator="lessThanOrEqual">
      <formula>0</formula>
    </cfRule>
  </conditionalFormatting>
  <conditionalFormatting sqref="M40">
    <cfRule type="expression" dxfId="1231" priority="1371">
      <formula>AND(M40=0,L40&lt;&gt;"")</formula>
    </cfRule>
  </conditionalFormatting>
  <conditionalFormatting sqref="L40">
    <cfRule type="expression" dxfId="1230" priority="1372">
      <formula>AND(L40="",M40&gt;0)</formula>
    </cfRule>
  </conditionalFormatting>
  <conditionalFormatting sqref="L40:M40">
    <cfRule type="cellIs" dxfId="1229" priority="1373" operator="equal">
      <formula>0</formula>
    </cfRule>
  </conditionalFormatting>
  <conditionalFormatting sqref="R40">
    <cfRule type="containsText" dxfId="1228" priority="1370" operator="containsText" text="Error">
      <formula>NOT(ISERROR(SEARCH("Error",R40)))</formula>
    </cfRule>
  </conditionalFormatting>
  <conditionalFormatting sqref="N40">
    <cfRule type="expression" dxfId="1227" priority="1369">
      <formula>ISNUMBER(N40)=FALSE</formula>
    </cfRule>
  </conditionalFormatting>
  <conditionalFormatting sqref="D41:E41">
    <cfRule type="containsBlanks" dxfId="1226" priority="1368">
      <formula>LEN(TRIM(D41))=0</formula>
    </cfRule>
  </conditionalFormatting>
  <conditionalFormatting sqref="H24 K24">
    <cfRule type="expression" dxfId="1225" priority="1354">
      <formula>ISNUMBER(H24)=FALSE</formula>
    </cfRule>
  </conditionalFormatting>
  <conditionalFormatting sqref="F41:K41">
    <cfRule type="containsBlanks" dxfId="1224" priority="1363">
      <formula>LEN(TRIM(F41))=0</formula>
    </cfRule>
  </conditionalFormatting>
  <conditionalFormatting sqref="B41:C41">
    <cfRule type="containsBlanks" dxfId="1223" priority="1364">
      <formula>LEN(TRIM(B41))=0</formula>
    </cfRule>
  </conditionalFormatting>
  <conditionalFormatting sqref="K24">
    <cfRule type="cellIs" dxfId="1222" priority="1350" operator="lessThan">
      <formula>0</formula>
    </cfRule>
    <cfRule type="cellIs" dxfId="1221" priority="1355" operator="equal">
      <formula>0</formula>
    </cfRule>
  </conditionalFormatting>
  <conditionalFormatting sqref="H24">
    <cfRule type="cellIs" dxfId="1220" priority="1353" operator="lessThanOrEqual">
      <formula>0</formula>
    </cfRule>
  </conditionalFormatting>
  <conditionalFormatting sqref="M41">
    <cfRule type="expression" dxfId="1219" priority="1359">
      <formula>AND(M41=0,L41&lt;&gt;"")</formula>
    </cfRule>
  </conditionalFormatting>
  <conditionalFormatting sqref="L41">
    <cfRule type="expression" dxfId="1218" priority="1360">
      <formula>AND(L41="",M41&gt;0)</formula>
    </cfRule>
  </conditionalFormatting>
  <conditionalFormatting sqref="L41:M41">
    <cfRule type="cellIs" dxfId="1217" priority="1361" operator="equal">
      <formula>0</formula>
    </cfRule>
  </conditionalFormatting>
  <conditionalFormatting sqref="R41">
    <cfRule type="containsText" dxfId="1216" priority="1358" operator="containsText" text="Error">
      <formula>NOT(ISERROR(SEARCH("Error",R41)))</formula>
    </cfRule>
  </conditionalFormatting>
  <conditionalFormatting sqref="N41">
    <cfRule type="expression" dxfId="1215" priority="1357">
      <formula>ISNUMBER(N41)=FALSE</formula>
    </cfRule>
  </conditionalFormatting>
  <conditionalFormatting sqref="D24:E24">
    <cfRule type="containsBlanks" dxfId="1214" priority="1356">
      <formula>LEN(TRIM(D24))=0</formula>
    </cfRule>
  </conditionalFormatting>
  <conditionalFormatting sqref="H25 K25">
    <cfRule type="expression" dxfId="1213" priority="1342">
      <formula>ISNUMBER(H25)=FALSE</formula>
    </cfRule>
  </conditionalFormatting>
  <conditionalFormatting sqref="F24:K24">
    <cfRule type="containsBlanks" dxfId="1212" priority="1351">
      <formula>LEN(TRIM(F24))=0</formula>
    </cfRule>
  </conditionalFormatting>
  <conditionalFormatting sqref="B24:C24">
    <cfRule type="containsBlanks" dxfId="1211" priority="1352">
      <formula>LEN(TRIM(B24))=0</formula>
    </cfRule>
  </conditionalFormatting>
  <conditionalFormatting sqref="K25">
    <cfRule type="cellIs" dxfId="1210" priority="1338" operator="lessThan">
      <formula>0</formula>
    </cfRule>
    <cfRule type="cellIs" dxfId="1209" priority="1343" operator="equal">
      <formula>0</formula>
    </cfRule>
  </conditionalFormatting>
  <conditionalFormatting sqref="H25">
    <cfRule type="cellIs" dxfId="1208" priority="1341" operator="lessThanOrEqual">
      <formula>0</formula>
    </cfRule>
  </conditionalFormatting>
  <conditionalFormatting sqref="M24">
    <cfRule type="expression" dxfId="1207" priority="1347">
      <formula>AND(M24=0,L24&lt;&gt;"")</formula>
    </cfRule>
  </conditionalFormatting>
  <conditionalFormatting sqref="L24">
    <cfRule type="expression" dxfId="1206" priority="1348">
      <formula>AND(L24="",M24&gt;0)</formula>
    </cfRule>
  </conditionalFormatting>
  <conditionalFormatting sqref="L24:M24">
    <cfRule type="cellIs" dxfId="1205" priority="1349" operator="equal">
      <formula>0</formula>
    </cfRule>
  </conditionalFormatting>
  <conditionalFormatting sqref="R24">
    <cfRule type="containsText" dxfId="1204" priority="1346" operator="containsText" text="Error">
      <formula>NOT(ISERROR(SEARCH("Error",R24)))</formula>
    </cfRule>
  </conditionalFormatting>
  <conditionalFormatting sqref="N24">
    <cfRule type="expression" dxfId="1203" priority="1345">
      <formula>ISNUMBER(N24)=FALSE</formula>
    </cfRule>
  </conditionalFormatting>
  <conditionalFormatting sqref="D25:E25">
    <cfRule type="containsBlanks" dxfId="1202" priority="1344">
      <formula>LEN(TRIM(D25))=0</formula>
    </cfRule>
  </conditionalFormatting>
  <conditionalFormatting sqref="H20 K20">
    <cfRule type="expression" dxfId="1201" priority="1330">
      <formula>ISNUMBER(H20)=FALSE</formula>
    </cfRule>
  </conditionalFormatting>
  <conditionalFormatting sqref="F25:K25">
    <cfRule type="containsBlanks" dxfId="1200" priority="1339">
      <formula>LEN(TRIM(F25))=0</formula>
    </cfRule>
  </conditionalFormatting>
  <conditionalFormatting sqref="B25:C25">
    <cfRule type="containsBlanks" dxfId="1199" priority="1340">
      <formula>LEN(TRIM(B25))=0</formula>
    </cfRule>
  </conditionalFormatting>
  <conditionalFormatting sqref="K20">
    <cfRule type="cellIs" dxfId="1198" priority="1326" operator="lessThan">
      <formula>0</formula>
    </cfRule>
    <cfRule type="cellIs" dxfId="1197" priority="1331" operator="equal">
      <formula>0</formula>
    </cfRule>
  </conditionalFormatting>
  <conditionalFormatting sqref="H20">
    <cfRule type="cellIs" dxfId="1196" priority="1329" operator="lessThanOrEqual">
      <formula>0</formula>
    </cfRule>
  </conditionalFormatting>
  <conditionalFormatting sqref="M25">
    <cfRule type="expression" dxfId="1195" priority="1335">
      <formula>AND(M25=0,L25&lt;&gt;"")</formula>
    </cfRule>
  </conditionalFormatting>
  <conditionalFormatting sqref="L25">
    <cfRule type="expression" dxfId="1194" priority="1336">
      <formula>AND(L25="",M25&gt;0)</formula>
    </cfRule>
  </conditionalFormatting>
  <conditionalFormatting sqref="L25:M25">
    <cfRule type="cellIs" dxfId="1193" priority="1337" operator="equal">
      <formula>0</formula>
    </cfRule>
  </conditionalFormatting>
  <conditionalFormatting sqref="R25">
    <cfRule type="containsText" dxfId="1192" priority="1334" operator="containsText" text="Error">
      <formula>NOT(ISERROR(SEARCH("Error",R25)))</formula>
    </cfRule>
  </conditionalFormatting>
  <conditionalFormatting sqref="N25">
    <cfRule type="expression" dxfId="1191" priority="1333">
      <formula>ISNUMBER(N25)=FALSE</formula>
    </cfRule>
  </conditionalFormatting>
  <conditionalFormatting sqref="D20:E20">
    <cfRule type="containsBlanks" dxfId="1190" priority="1332">
      <formula>LEN(TRIM(D20))=0</formula>
    </cfRule>
  </conditionalFormatting>
  <conditionalFormatting sqref="H21 K21">
    <cfRule type="expression" dxfId="1189" priority="1318">
      <formula>ISNUMBER(H21)=FALSE</formula>
    </cfRule>
  </conditionalFormatting>
  <conditionalFormatting sqref="F20:K20">
    <cfRule type="containsBlanks" dxfId="1188" priority="1327">
      <formula>LEN(TRIM(F20))=0</formula>
    </cfRule>
  </conditionalFormatting>
  <conditionalFormatting sqref="B20:C20">
    <cfRule type="containsBlanks" dxfId="1187" priority="1328">
      <formula>LEN(TRIM(B20))=0</formula>
    </cfRule>
  </conditionalFormatting>
  <conditionalFormatting sqref="K21">
    <cfRule type="cellIs" dxfId="1186" priority="1314" operator="lessThan">
      <formula>0</formula>
    </cfRule>
    <cfRule type="cellIs" dxfId="1185" priority="1319" operator="equal">
      <formula>0</formula>
    </cfRule>
  </conditionalFormatting>
  <conditionalFormatting sqref="H21">
    <cfRule type="cellIs" dxfId="1184" priority="1317" operator="lessThanOrEqual">
      <formula>0</formula>
    </cfRule>
  </conditionalFormatting>
  <conditionalFormatting sqref="M20">
    <cfRule type="expression" dxfId="1183" priority="1323">
      <formula>AND(M20=0,L20&lt;&gt;"")</formula>
    </cfRule>
  </conditionalFormatting>
  <conditionalFormatting sqref="L20">
    <cfRule type="expression" dxfId="1182" priority="1324">
      <formula>AND(L20="",M20&gt;0)</formula>
    </cfRule>
  </conditionalFormatting>
  <conditionalFormatting sqref="L20:M20">
    <cfRule type="cellIs" dxfId="1181" priority="1325" operator="equal">
      <formula>0</formula>
    </cfRule>
  </conditionalFormatting>
  <conditionalFormatting sqref="R20">
    <cfRule type="containsText" dxfId="1180" priority="1322" operator="containsText" text="Error">
      <formula>NOT(ISERROR(SEARCH("Error",R20)))</formula>
    </cfRule>
  </conditionalFormatting>
  <conditionalFormatting sqref="N20">
    <cfRule type="expression" dxfId="1179" priority="1321">
      <formula>ISNUMBER(N20)=FALSE</formula>
    </cfRule>
  </conditionalFormatting>
  <conditionalFormatting sqref="D21:E21">
    <cfRule type="containsBlanks" dxfId="1178" priority="1320">
      <formula>LEN(TRIM(D21))=0</formula>
    </cfRule>
  </conditionalFormatting>
  <conditionalFormatting sqref="H30 K30">
    <cfRule type="expression" dxfId="1177" priority="1306">
      <formula>ISNUMBER(H30)=FALSE</formula>
    </cfRule>
  </conditionalFormatting>
  <conditionalFormatting sqref="F21:K21">
    <cfRule type="containsBlanks" dxfId="1176" priority="1315">
      <formula>LEN(TRIM(F21))=0</formula>
    </cfRule>
  </conditionalFormatting>
  <conditionalFormatting sqref="B21:C21">
    <cfRule type="containsBlanks" dxfId="1175" priority="1316">
      <formula>LEN(TRIM(B21))=0</formula>
    </cfRule>
  </conditionalFormatting>
  <conditionalFormatting sqref="K30">
    <cfRule type="cellIs" dxfId="1174" priority="1302" operator="lessThan">
      <formula>0</formula>
    </cfRule>
    <cfRule type="cellIs" dxfId="1173" priority="1307" operator="equal">
      <formula>0</formula>
    </cfRule>
  </conditionalFormatting>
  <conditionalFormatting sqref="H30">
    <cfRule type="cellIs" dxfId="1172" priority="1305" operator="lessThanOrEqual">
      <formula>0</formula>
    </cfRule>
  </conditionalFormatting>
  <conditionalFormatting sqref="M21">
    <cfRule type="expression" dxfId="1171" priority="1311">
      <formula>AND(M21=0,L21&lt;&gt;"")</formula>
    </cfRule>
  </conditionalFormatting>
  <conditionalFormatting sqref="L21">
    <cfRule type="expression" dxfId="1170" priority="1312">
      <formula>AND(L21="",M21&gt;0)</formula>
    </cfRule>
  </conditionalFormatting>
  <conditionalFormatting sqref="L21:M21">
    <cfRule type="cellIs" dxfId="1169" priority="1313" operator="equal">
      <formula>0</formula>
    </cfRule>
  </conditionalFormatting>
  <conditionalFormatting sqref="R21">
    <cfRule type="containsText" dxfId="1168" priority="1310" operator="containsText" text="Error">
      <formula>NOT(ISERROR(SEARCH("Error",R21)))</formula>
    </cfRule>
  </conditionalFormatting>
  <conditionalFormatting sqref="N21">
    <cfRule type="expression" dxfId="1167" priority="1309">
      <formula>ISNUMBER(N21)=FALSE</formula>
    </cfRule>
  </conditionalFormatting>
  <conditionalFormatting sqref="D30:E30">
    <cfRule type="containsBlanks" dxfId="1166" priority="1308">
      <formula>LEN(TRIM(D30))=0</formula>
    </cfRule>
  </conditionalFormatting>
  <conditionalFormatting sqref="H31 K31">
    <cfRule type="expression" dxfId="1165" priority="1294">
      <formula>ISNUMBER(H31)=FALSE</formula>
    </cfRule>
  </conditionalFormatting>
  <conditionalFormatting sqref="F30:K30">
    <cfRule type="containsBlanks" dxfId="1164" priority="1303">
      <formula>LEN(TRIM(F30))=0</formula>
    </cfRule>
  </conditionalFormatting>
  <conditionalFormatting sqref="B30:C30">
    <cfRule type="containsBlanks" dxfId="1163" priority="1304">
      <formula>LEN(TRIM(B30))=0</formula>
    </cfRule>
  </conditionalFormatting>
  <conditionalFormatting sqref="K31">
    <cfRule type="cellIs" dxfId="1162" priority="1290" operator="lessThan">
      <formula>0</formula>
    </cfRule>
    <cfRule type="cellIs" dxfId="1161" priority="1295" operator="equal">
      <formula>0</formula>
    </cfRule>
  </conditionalFormatting>
  <conditionalFormatting sqref="H31">
    <cfRule type="cellIs" dxfId="1160" priority="1293" operator="lessThanOrEqual">
      <formula>0</formula>
    </cfRule>
  </conditionalFormatting>
  <conditionalFormatting sqref="M30">
    <cfRule type="expression" dxfId="1159" priority="1299">
      <formula>AND(M30=0,L30&lt;&gt;"")</formula>
    </cfRule>
  </conditionalFormatting>
  <conditionalFormatting sqref="L30">
    <cfRule type="expression" dxfId="1158" priority="1300">
      <formula>AND(L30="",M30&gt;0)</formula>
    </cfRule>
  </conditionalFormatting>
  <conditionalFormatting sqref="L30:M30">
    <cfRule type="cellIs" dxfId="1157" priority="1301" operator="equal">
      <formula>0</formula>
    </cfRule>
  </conditionalFormatting>
  <conditionalFormatting sqref="R30">
    <cfRule type="containsText" dxfId="1156" priority="1298" operator="containsText" text="Error">
      <formula>NOT(ISERROR(SEARCH("Error",R30)))</formula>
    </cfRule>
  </conditionalFormatting>
  <conditionalFormatting sqref="N30">
    <cfRule type="expression" dxfId="1155" priority="1297">
      <formula>ISNUMBER(N30)=FALSE</formula>
    </cfRule>
  </conditionalFormatting>
  <conditionalFormatting sqref="D31:E31">
    <cfRule type="containsBlanks" dxfId="1154" priority="1296">
      <formula>LEN(TRIM(D31))=0</formula>
    </cfRule>
  </conditionalFormatting>
  <conditionalFormatting sqref="F31:K31">
    <cfRule type="containsBlanks" dxfId="1153" priority="1291">
      <formula>LEN(TRIM(F31))=0</formula>
    </cfRule>
  </conditionalFormatting>
  <conditionalFormatting sqref="B31:C31">
    <cfRule type="containsBlanks" dxfId="1152" priority="1292">
      <formula>LEN(TRIM(B31))=0</formula>
    </cfRule>
  </conditionalFormatting>
  <conditionalFormatting sqref="M31">
    <cfRule type="expression" dxfId="1151" priority="1287">
      <formula>AND(M31=0,L31&lt;&gt;"")</formula>
    </cfRule>
  </conditionalFormatting>
  <conditionalFormatting sqref="L31">
    <cfRule type="expression" dxfId="1150" priority="1288">
      <formula>AND(L31="",M31&gt;0)</formula>
    </cfRule>
  </conditionalFormatting>
  <conditionalFormatting sqref="L31:M31">
    <cfRule type="cellIs" dxfId="1149" priority="1289" operator="equal">
      <formula>0</formula>
    </cfRule>
  </conditionalFormatting>
  <conditionalFormatting sqref="R31">
    <cfRule type="containsText" dxfId="1148" priority="1286" operator="containsText" text="Error">
      <formula>NOT(ISERROR(SEARCH("Error",R31)))</formula>
    </cfRule>
  </conditionalFormatting>
  <conditionalFormatting sqref="N31">
    <cfRule type="expression" dxfId="1147" priority="1285">
      <formula>ISNUMBER(N31)=FALSE</formula>
    </cfRule>
  </conditionalFormatting>
  <conditionalFormatting sqref="D28:E28">
    <cfRule type="containsBlanks" dxfId="1146" priority="1284">
      <formula>LEN(TRIM(D28))=0</formula>
    </cfRule>
  </conditionalFormatting>
  <conditionalFormatting sqref="H28 K28">
    <cfRule type="expression" dxfId="1145" priority="1282">
      <formula>ISNUMBER(H28)=FALSE</formula>
    </cfRule>
  </conditionalFormatting>
  <conditionalFormatting sqref="F28:K28">
    <cfRule type="containsBlanks" dxfId="1144" priority="1279">
      <formula>LEN(TRIM(F28))=0</formula>
    </cfRule>
  </conditionalFormatting>
  <conditionalFormatting sqref="B28:C28">
    <cfRule type="containsBlanks" dxfId="1143" priority="1280">
      <formula>LEN(TRIM(B28))=0</formula>
    </cfRule>
  </conditionalFormatting>
  <conditionalFormatting sqref="K28">
    <cfRule type="cellIs" dxfId="1142" priority="1278" operator="lessThan">
      <formula>0</formula>
    </cfRule>
    <cfRule type="cellIs" dxfId="1141" priority="1283" operator="equal">
      <formula>0</formula>
    </cfRule>
  </conditionalFormatting>
  <conditionalFormatting sqref="H28">
    <cfRule type="cellIs" dxfId="1140" priority="1281" operator="lessThanOrEqual">
      <formula>0</formula>
    </cfRule>
  </conditionalFormatting>
  <conditionalFormatting sqref="M28">
    <cfRule type="expression" dxfId="1139" priority="1275">
      <formula>AND(M28=0,L28&lt;&gt;"")</formula>
    </cfRule>
  </conditionalFormatting>
  <conditionalFormatting sqref="L28">
    <cfRule type="expression" dxfId="1138" priority="1276">
      <formula>AND(L28="",M28&gt;0)</formula>
    </cfRule>
  </conditionalFormatting>
  <conditionalFormatting sqref="L28:M28">
    <cfRule type="cellIs" dxfId="1137" priority="1277" operator="equal">
      <formula>0</formula>
    </cfRule>
  </conditionalFormatting>
  <conditionalFormatting sqref="R28">
    <cfRule type="containsText" dxfId="1136" priority="1274" operator="containsText" text="Error">
      <formula>NOT(ISERROR(SEARCH("Error",R28)))</formula>
    </cfRule>
  </conditionalFormatting>
  <conditionalFormatting sqref="N28">
    <cfRule type="expression" dxfId="1135" priority="1273">
      <formula>ISNUMBER(N28)=FALSE</formula>
    </cfRule>
  </conditionalFormatting>
  <conditionalFormatting sqref="D29:E29">
    <cfRule type="containsBlanks" dxfId="1134" priority="1272">
      <formula>LEN(TRIM(D29))=0</formula>
    </cfRule>
  </conditionalFormatting>
  <conditionalFormatting sqref="H29 K29">
    <cfRule type="expression" dxfId="1133" priority="1270">
      <formula>ISNUMBER(H29)=FALSE</formula>
    </cfRule>
  </conditionalFormatting>
  <conditionalFormatting sqref="F29:K29">
    <cfRule type="containsBlanks" dxfId="1132" priority="1267">
      <formula>LEN(TRIM(F29))=0</formula>
    </cfRule>
  </conditionalFormatting>
  <conditionalFormatting sqref="B29:C29">
    <cfRule type="containsBlanks" dxfId="1131" priority="1268">
      <formula>LEN(TRIM(B29))=0</formula>
    </cfRule>
  </conditionalFormatting>
  <conditionalFormatting sqref="K29">
    <cfRule type="cellIs" dxfId="1130" priority="1266" operator="lessThan">
      <formula>0</formula>
    </cfRule>
    <cfRule type="cellIs" dxfId="1129" priority="1271" operator="equal">
      <formula>0</formula>
    </cfRule>
  </conditionalFormatting>
  <conditionalFormatting sqref="H29">
    <cfRule type="cellIs" dxfId="1128" priority="1269" operator="lessThanOrEqual">
      <formula>0</formula>
    </cfRule>
  </conditionalFormatting>
  <conditionalFormatting sqref="M29">
    <cfRule type="expression" dxfId="1127" priority="1263">
      <formula>AND(M29=0,L29&lt;&gt;"")</formula>
    </cfRule>
  </conditionalFormatting>
  <conditionalFormatting sqref="L29">
    <cfRule type="expression" dxfId="1126" priority="1264">
      <formula>AND(L29="",M29&gt;0)</formula>
    </cfRule>
  </conditionalFormatting>
  <conditionalFormatting sqref="L29:M29">
    <cfRule type="cellIs" dxfId="1125" priority="1265" operator="equal">
      <formula>0</formula>
    </cfRule>
  </conditionalFormatting>
  <conditionalFormatting sqref="R29">
    <cfRule type="containsText" dxfId="1124" priority="1262" operator="containsText" text="Error">
      <formula>NOT(ISERROR(SEARCH("Error",R29)))</formula>
    </cfRule>
  </conditionalFormatting>
  <conditionalFormatting sqref="N29">
    <cfRule type="expression" dxfId="1123" priority="1261">
      <formula>ISNUMBER(N29)=FALSE</formula>
    </cfRule>
  </conditionalFormatting>
  <conditionalFormatting sqref="D44:E44">
    <cfRule type="containsBlanks" dxfId="1122" priority="1260">
      <formula>LEN(TRIM(D44))=0</formula>
    </cfRule>
  </conditionalFormatting>
  <conditionalFormatting sqref="H44 K44">
    <cfRule type="expression" dxfId="1121" priority="1258">
      <formula>ISNUMBER(H44)=FALSE</formula>
    </cfRule>
  </conditionalFormatting>
  <conditionalFormatting sqref="F44:K44">
    <cfRule type="containsBlanks" dxfId="1120" priority="1255">
      <formula>LEN(TRIM(F44))=0</formula>
    </cfRule>
  </conditionalFormatting>
  <conditionalFormatting sqref="B44:C44">
    <cfRule type="containsBlanks" dxfId="1119" priority="1256">
      <formula>LEN(TRIM(B44))=0</formula>
    </cfRule>
  </conditionalFormatting>
  <conditionalFormatting sqref="K44">
    <cfRule type="cellIs" dxfId="1118" priority="1254" operator="lessThan">
      <formula>0</formula>
    </cfRule>
    <cfRule type="cellIs" dxfId="1117" priority="1259" operator="equal">
      <formula>0</formula>
    </cfRule>
  </conditionalFormatting>
  <conditionalFormatting sqref="H44">
    <cfRule type="cellIs" dxfId="1116" priority="1257" operator="lessThanOrEqual">
      <formula>0</formula>
    </cfRule>
  </conditionalFormatting>
  <conditionalFormatting sqref="M44">
    <cfRule type="expression" dxfId="1115" priority="1251">
      <formula>AND(M44=0,L44&lt;&gt;"")</formula>
    </cfRule>
  </conditionalFormatting>
  <conditionalFormatting sqref="L44">
    <cfRule type="expression" dxfId="1114" priority="1252">
      <formula>AND(L44="",M44&gt;0)</formula>
    </cfRule>
  </conditionalFormatting>
  <conditionalFormatting sqref="L44:M44">
    <cfRule type="cellIs" dxfId="1113" priority="1253" operator="equal">
      <formula>0</formula>
    </cfRule>
  </conditionalFormatting>
  <conditionalFormatting sqref="R44">
    <cfRule type="containsText" dxfId="1112" priority="1250" operator="containsText" text="Error">
      <formula>NOT(ISERROR(SEARCH("Error",R44)))</formula>
    </cfRule>
  </conditionalFormatting>
  <conditionalFormatting sqref="N44">
    <cfRule type="expression" dxfId="1111" priority="1249">
      <formula>ISNUMBER(N44)=FALSE</formula>
    </cfRule>
  </conditionalFormatting>
  <conditionalFormatting sqref="D45:E45">
    <cfRule type="containsBlanks" dxfId="1110" priority="1248">
      <formula>LEN(TRIM(D45))=0</formula>
    </cfRule>
  </conditionalFormatting>
  <conditionalFormatting sqref="H45 K45">
    <cfRule type="expression" dxfId="1109" priority="1246">
      <formula>ISNUMBER(H45)=FALSE</formula>
    </cfRule>
  </conditionalFormatting>
  <conditionalFormatting sqref="F45:K45">
    <cfRule type="containsBlanks" dxfId="1108" priority="1243">
      <formula>LEN(TRIM(F45))=0</formula>
    </cfRule>
  </conditionalFormatting>
  <conditionalFormatting sqref="B45:C45">
    <cfRule type="containsBlanks" dxfId="1107" priority="1244">
      <formula>LEN(TRIM(B45))=0</formula>
    </cfRule>
  </conditionalFormatting>
  <conditionalFormatting sqref="K45">
    <cfRule type="cellIs" dxfId="1106" priority="1242" operator="lessThan">
      <formula>0</formula>
    </cfRule>
    <cfRule type="cellIs" dxfId="1105" priority="1247" operator="equal">
      <formula>0</formula>
    </cfRule>
  </conditionalFormatting>
  <conditionalFormatting sqref="H45">
    <cfRule type="cellIs" dxfId="1104" priority="1245" operator="lessThanOrEqual">
      <formula>0</formula>
    </cfRule>
  </conditionalFormatting>
  <conditionalFormatting sqref="M45">
    <cfRule type="expression" dxfId="1103" priority="1239">
      <formula>AND(M45=0,L45&lt;&gt;"")</formula>
    </cfRule>
  </conditionalFormatting>
  <conditionalFormatting sqref="L45">
    <cfRule type="expression" dxfId="1102" priority="1240">
      <formula>AND(L45="",M45&gt;0)</formula>
    </cfRule>
  </conditionalFormatting>
  <conditionalFormatting sqref="L45:M45">
    <cfRule type="cellIs" dxfId="1101" priority="1241" operator="equal">
      <formula>0</formula>
    </cfRule>
  </conditionalFormatting>
  <conditionalFormatting sqref="R45">
    <cfRule type="containsText" dxfId="1100" priority="1238" operator="containsText" text="Error">
      <formula>NOT(ISERROR(SEARCH("Error",R45)))</formula>
    </cfRule>
  </conditionalFormatting>
  <conditionalFormatting sqref="N45">
    <cfRule type="expression" dxfId="1099" priority="1237">
      <formula>ISNUMBER(N45)=FALSE</formula>
    </cfRule>
  </conditionalFormatting>
  <conditionalFormatting sqref="D48:E48">
    <cfRule type="containsBlanks" dxfId="1098" priority="1236">
      <formula>LEN(TRIM(D48))=0</formula>
    </cfRule>
  </conditionalFormatting>
  <conditionalFormatting sqref="H48 K48">
    <cfRule type="expression" dxfId="1097" priority="1234">
      <formula>ISNUMBER(H48)=FALSE</formula>
    </cfRule>
  </conditionalFormatting>
  <conditionalFormatting sqref="F48:K48">
    <cfRule type="containsBlanks" dxfId="1096" priority="1231">
      <formula>LEN(TRIM(F48))=0</formula>
    </cfRule>
  </conditionalFormatting>
  <conditionalFormatting sqref="B48:C48">
    <cfRule type="containsBlanks" dxfId="1095" priority="1232">
      <formula>LEN(TRIM(B48))=0</formula>
    </cfRule>
  </conditionalFormatting>
  <conditionalFormatting sqref="K48">
    <cfRule type="cellIs" dxfId="1094" priority="1230" operator="lessThan">
      <formula>0</formula>
    </cfRule>
    <cfRule type="cellIs" dxfId="1093" priority="1235" operator="equal">
      <formula>0</formula>
    </cfRule>
  </conditionalFormatting>
  <conditionalFormatting sqref="H48">
    <cfRule type="cellIs" dxfId="1092" priority="1233" operator="lessThanOrEqual">
      <formula>0</formula>
    </cfRule>
  </conditionalFormatting>
  <conditionalFormatting sqref="M48">
    <cfRule type="expression" dxfId="1091" priority="1227">
      <formula>AND(M48=0,L48&lt;&gt;"")</formula>
    </cfRule>
  </conditionalFormatting>
  <conditionalFormatting sqref="L48">
    <cfRule type="expression" dxfId="1090" priority="1228">
      <formula>AND(L48="",M48&gt;0)</formula>
    </cfRule>
  </conditionalFormatting>
  <conditionalFormatting sqref="L48:M48">
    <cfRule type="cellIs" dxfId="1089" priority="1229" operator="equal">
      <formula>0</formula>
    </cfRule>
  </conditionalFormatting>
  <conditionalFormatting sqref="R48">
    <cfRule type="containsText" dxfId="1088" priority="1226" operator="containsText" text="Error">
      <formula>NOT(ISERROR(SEARCH("Error",R48)))</formula>
    </cfRule>
  </conditionalFormatting>
  <conditionalFormatting sqref="N48">
    <cfRule type="expression" dxfId="1087" priority="1225">
      <formula>ISNUMBER(N48)=FALSE</formula>
    </cfRule>
  </conditionalFormatting>
  <conditionalFormatting sqref="D49:E49">
    <cfRule type="containsBlanks" dxfId="1086" priority="1224">
      <formula>LEN(TRIM(D49))=0</formula>
    </cfRule>
  </conditionalFormatting>
  <conditionalFormatting sqref="H49 K49">
    <cfRule type="expression" dxfId="1085" priority="1222">
      <formula>ISNUMBER(H49)=FALSE</formula>
    </cfRule>
  </conditionalFormatting>
  <conditionalFormatting sqref="F49:K49">
    <cfRule type="containsBlanks" dxfId="1084" priority="1219">
      <formula>LEN(TRIM(F49))=0</formula>
    </cfRule>
  </conditionalFormatting>
  <conditionalFormatting sqref="B49:C49">
    <cfRule type="containsBlanks" dxfId="1083" priority="1220">
      <formula>LEN(TRIM(B49))=0</formula>
    </cfRule>
  </conditionalFormatting>
  <conditionalFormatting sqref="K49">
    <cfRule type="cellIs" dxfId="1082" priority="1218" operator="lessThan">
      <formula>0</formula>
    </cfRule>
    <cfRule type="cellIs" dxfId="1081" priority="1223" operator="equal">
      <formula>0</formula>
    </cfRule>
  </conditionalFormatting>
  <conditionalFormatting sqref="H49">
    <cfRule type="cellIs" dxfId="1080" priority="1221" operator="lessThanOrEqual">
      <formula>0</formula>
    </cfRule>
  </conditionalFormatting>
  <conditionalFormatting sqref="M49">
    <cfRule type="expression" dxfId="1079" priority="1215">
      <formula>AND(M49=0,L49&lt;&gt;"")</formula>
    </cfRule>
  </conditionalFormatting>
  <conditionalFormatting sqref="L49">
    <cfRule type="expression" dxfId="1078" priority="1216">
      <formula>AND(L49="",M49&gt;0)</formula>
    </cfRule>
  </conditionalFormatting>
  <conditionalFormatting sqref="L49:M49">
    <cfRule type="cellIs" dxfId="1077" priority="1217" operator="equal">
      <formula>0</formula>
    </cfRule>
  </conditionalFormatting>
  <conditionalFormatting sqref="R49">
    <cfRule type="containsText" dxfId="1076" priority="1214" operator="containsText" text="Error">
      <formula>NOT(ISERROR(SEARCH("Error",R49)))</formula>
    </cfRule>
  </conditionalFormatting>
  <conditionalFormatting sqref="N49">
    <cfRule type="expression" dxfId="1075" priority="1213">
      <formula>ISNUMBER(N49)=FALSE</formula>
    </cfRule>
  </conditionalFormatting>
  <conditionalFormatting sqref="D56:E56">
    <cfRule type="containsBlanks" dxfId="1074" priority="1212">
      <formula>LEN(TRIM(D56))=0</formula>
    </cfRule>
  </conditionalFormatting>
  <conditionalFormatting sqref="H57:H69">
    <cfRule type="expression" dxfId="1073" priority="1198">
      <formula>ISNUMBER(H57)=FALSE</formula>
    </cfRule>
  </conditionalFormatting>
  <conditionalFormatting sqref="F56:G56 I56:J56">
    <cfRule type="containsBlanks" dxfId="1072" priority="1207">
      <formula>LEN(TRIM(F56))=0</formula>
    </cfRule>
  </conditionalFormatting>
  <conditionalFormatting sqref="B56:C56">
    <cfRule type="containsBlanks" dxfId="1071" priority="1208">
      <formula>LEN(TRIM(B56))=0</formula>
    </cfRule>
  </conditionalFormatting>
  <conditionalFormatting sqref="H57:H69">
    <cfRule type="cellIs" dxfId="1070" priority="1197" operator="lessThanOrEqual">
      <formula>0</formula>
    </cfRule>
  </conditionalFormatting>
  <conditionalFormatting sqref="M56">
    <cfRule type="expression" dxfId="1069" priority="1203">
      <formula>AND(M56=0,L56&lt;&gt;"")</formula>
    </cfRule>
  </conditionalFormatting>
  <conditionalFormatting sqref="L56">
    <cfRule type="expression" dxfId="1068" priority="1204">
      <formula>AND(L56="",M56&gt;0)</formula>
    </cfRule>
  </conditionalFormatting>
  <conditionalFormatting sqref="L56:M56">
    <cfRule type="cellIs" dxfId="1067" priority="1205" operator="equal">
      <formula>0</formula>
    </cfRule>
  </conditionalFormatting>
  <conditionalFormatting sqref="R56">
    <cfRule type="containsText" dxfId="1066" priority="1202" operator="containsText" text="Error">
      <formula>NOT(ISERROR(SEARCH("Error",R56)))</formula>
    </cfRule>
  </conditionalFormatting>
  <conditionalFormatting sqref="N56">
    <cfRule type="expression" dxfId="1065" priority="1201">
      <formula>ISNUMBER(N56)=FALSE</formula>
    </cfRule>
  </conditionalFormatting>
  <conditionalFormatting sqref="D57:E57">
    <cfRule type="containsBlanks" dxfId="1064" priority="1200">
      <formula>LEN(TRIM(D57))=0</formula>
    </cfRule>
  </conditionalFormatting>
  <conditionalFormatting sqref="F57:J57 H58:H69">
    <cfRule type="containsBlanks" dxfId="1063" priority="1195">
      <formula>LEN(TRIM(F57))=0</formula>
    </cfRule>
  </conditionalFormatting>
  <conditionalFormatting sqref="B57:C57">
    <cfRule type="containsBlanks" dxfId="1062" priority="1196">
      <formula>LEN(TRIM(B57))=0</formula>
    </cfRule>
  </conditionalFormatting>
  <conditionalFormatting sqref="M57">
    <cfRule type="expression" dxfId="1061" priority="1191">
      <formula>AND(M57=0,L57&lt;&gt;"")</formula>
    </cfRule>
  </conditionalFormatting>
  <conditionalFormatting sqref="L57">
    <cfRule type="expression" dxfId="1060" priority="1192">
      <formula>AND(L57="",M57&gt;0)</formula>
    </cfRule>
  </conditionalFormatting>
  <conditionalFormatting sqref="L57:M57">
    <cfRule type="cellIs" dxfId="1059" priority="1193" operator="equal">
      <formula>0</formula>
    </cfRule>
  </conditionalFormatting>
  <conditionalFormatting sqref="R57">
    <cfRule type="containsText" dxfId="1058" priority="1190" operator="containsText" text="Error">
      <formula>NOT(ISERROR(SEARCH("Error",R57)))</formula>
    </cfRule>
  </conditionalFormatting>
  <conditionalFormatting sqref="N57">
    <cfRule type="expression" dxfId="1057" priority="1189">
      <formula>ISNUMBER(N57)=FALSE</formula>
    </cfRule>
  </conditionalFormatting>
  <conditionalFormatting sqref="D58:E58">
    <cfRule type="containsBlanks" dxfId="1056" priority="1188">
      <formula>LEN(TRIM(D58))=0</formula>
    </cfRule>
  </conditionalFormatting>
  <conditionalFormatting sqref="F58:G58 I58:J58">
    <cfRule type="containsBlanks" dxfId="1055" priority="1183">
      <formula>LEN(TRIM(F58))=0</formula>
    </cfRule>
  </conditionalFormatting>
  <conditionalFormatting sqref="B58:C58">
    <cfRule type="containsBlanks" dxfId="1054" priority="1184">
      <formula>LEN(TRIM(B58))=0</formula>
    </cfRule>
  </conditionalFormatting>
  <conditionalFormatting sqref="M58">
    <cfRule type="expression" dxfId="1053" priority="1179">
      <formula>AND(M58=0,L58&lt;&gt;"")</formula>
    </cfRule>
  </conditionalFormatting>
  <conditionalFormatting sqref="L58">
    <cfRule type="expression" dxfId="1052" priority="1180">
      <formula>AND(L58="",M58&gt;0)</formula>
    </cfRule>
  </conditionalFormatting>
  <conditionalFormatting sqref="L58:M58">
    <cfRule type="cellIs" dxfId="1051" priority="1181" operator="equal">
      <formula>0</formula>
    </cfRule>
  </conditionalFormatting>
  <conditionalFormatting sqref="R58">
    <cfRule type="containsText" dxfId="1050" priority="1178" operator="containsText" text="Error">
      <formula>NOT(ISERROR(SEARCH("Error",R58)))</formula>
    </cfRule>
  </conditionalFormatting>
  <conditionalFormatting sqref="N58">
    <cfRule type="expression" dxfId="1049" priority="1177">
      <formula>ISNUMBER(N58)=FALSE</formula>
    </cfRule>
  </conditionalFormatting>
  <conditionalFormatting sqref="D59:E59">
    <cfRule type="containsBlanks" dxfId="1048" priority="1176">
      <formula>LEN(TRIM(D59))=0</formula>
    </cfRule>
  </conditionalFormatting>
  <conditionalFormatting sqref="H70:H80">
    <cfRule type="expression" dxfId="1047" priority="1042">
      <formula>ISNUMBER(H70)=FALSE</formula>
    </cfRule>
  </conditionalFormatting>
  <conditionalFormatting sqref="F59:G59 I59:J59 F60:F61">
    <cfRule type="containsBlanks" dxfId="1046" priority="1171">
      <formula>LEN(TRIM(F59))=0</formula>
    </cfRule>
  </conditionalFormatting>
  <conditionalFormatting sqref="B59:C59">
    <cfRule type="containsBlanks" dxfId="1045" priority="1172">
      <formula>LEN(TRIM(B59))=0</formula>
    </cfRule>
  </conditionalFormatting>
  <conditionalFormatting sqref="H70:H80">
    <cfRule type="cellIs" dxfId="1044" priority="1041" operator="lessThanOrEqual">
      <formula>0</formula>
    </cfRule>
  </conditionalFormatting>
  <conditionalFormatting sqref="M59">
    <cfRule type="expression" dxfId="1043" priority="1167">
      <formula>AND(M59=0,L59&lt;&gt;"")</formula>
    </cfRule>
  </conditionalFormatting>
  <conditionalFormatting sqref="L59">
    <cfRule type="expression" dxfId="1042" priority="1168">
      <formula>AND(L59="",M59&gt;0)</formula>
    </cfRule>
  </conditionalFormatting>
  <conditionalFormatting sqref="L59:M59">
    <cfRule type="cellIs" dxfId="1041" priority="1169" operator="equal">
      <formula>0</formula>
    </cfRule>
  </conditionalFormatting>
  <conditionalFormatting sqref="R59">
    <cfRule type="containsText" dxfId="1040" priority="1166" operator="containsText" text="Error">
      <formula>NOT(ISERROR(SEARCH("Error",R59)))</formula>
    </cfRule>
  </conditionalFormatting>
  <conditionalFormatting sqref="N59">
    <cfRule type="expression" dxfId="1039" priority="1165">
      <formula>ISNUMBER(N59)=FALSE</formula>
    </cfRule>
  </conditionalFormatting>
  <conditionalFormatting sqref="D60:E60">
    <cfRule type="containsBlanks" dxfId="1038" priority="1164">
      <formula>LEN(TRIM(D60))=0</formula>
    </cfRule>
  </conditionalFormatting>
  <conditionalFormatting sqref="G60 I60:J60">
    <cfRule type="containsBlanks" dxfId="1037" priority="1159">
      <formula>LEN(TRIM(G60))=0</formula>
    </cfRule>
  </conditionalFormatting>
  <conditionalFormatting sqref="B60:C60">
    <cfRule type="containsBlanks" dxfId="1036" priority="1160">
      <formula>LEN(TRIM(B60))=0</formula>
    </cfRule>
  </conditionalFormatting>
  <conditionalFormatting sqref="M60">
    <cfRule type="expression" dxfId="1035" priority="1155">
      <formula>AND(M60=0,L60&lt;&gt;"")</formula>
    </cfRule>
  </conditionalFormatting>
  <conditionalFormatting sqref="L60">
    <cfRule type="expression" dxfId="1034" priority="1156">
      <formula>AND(L60="",M60&gt;0)</formula>
    </cfRule>
  </conditionalFormatting>
  <conditionalFormatting sqref="L60:M60">
    <cfRule type="cellIs" dxfId="1033" priority="1157" operator="equal">
      <formula>0</formula>
    </cfRule>
  </conditionalFormatting>
  <conditionalFormatting sqref="R60">
    <cfRule type="containsText" dxfId="1032" priority="1154" operator="containsText" text="Error">
      <formula>NOT(ISERROR(SEARCH("Error",R60)))</formula>
    </cfRule>
  </conditionalFormatting>
  <conditionalFormatting sqref="N60">
    <cfRule type="expression" dxfId="1031" priority="1153">
      <formula>ISNUMBER(N60)=FALSE</formula>
    </cfRule>
  </conditionalFormatting>
  <conditionalFormatting sqref="D61:E61">
    <cfRule type="containsBlanks" dxfId="1030" priority="1152">
      <formula>LEN(TRIM(D61))=0</formula>
    </cfRule>
  </conditionalFormatting>
  <conditionalFormatting sqref="G61 I61:J61">
    <cfRule type="containsBlanks" dxfId="1029" priority="1147">
      <formula>LEN(TRIM(G61))=0</formula>
    </cfRule>
  </conditionalFormatting>
  <conditionalFormatting sqref="B61:C61">
    <cfRule type="containsBlanks" dxfId="1028" priority="1148">
      <formula>LEN(TRIM(B61))=0</formula>
    </cfRule>
  </conditionalFormatting>
  <conditionalFormatting sqref="M61">
    <cfRule type="expression" dxfId="1027" priority="1143">
      <formula>AND(M61=0,L61&lt;&gt;"")</formula>
    </cfRule>
  </conditionalFormatting>
  <conditionalFormatting sqref="L61">
    <cfRule type="expression" dxfId="1026" priority="1144">
      <formula>AND(L61="",M61&gt;0)</formula>
    </cfRule>
  </conditionalFormatting>
  <conditionalFormatting sqref="L61:M61">
    <cfRule type="cellIs" dxfId="1025" priority="1145" operator="equal">
      <formula>0</formula>
    </cfRule>
  </conditionalFormatting>
  <conditionalFormatting sqref="R61">
    <cfRule type="containsText" dxfId="1024" priority="1142" operator="containsText" text="Error">
      <formula>NOT(ISERROR(SEARCH("Error",R61)))</formula>
    </cfRule>
  </conditionalFormatting>
  <conditionalFormatting sqref="N61">
    <cfRule type="expression" dxfId="1023" priority="1141">
      <formula>ISNUMBER(N61)=FALSE</formula>
    </cfRule>
  </conditionalFormatting>
  <conditionalFormatting sqref="D62:E62">
    <cfRule type="containsBlanks" dxfId="1022" priority="1140">
      <formula>LEN(TRIM(D62))=0</formula>
    </cfRule>
  </conditionalFormatting>
  <conditionalFormatting sqref="F62:G62 I62:J62 F63:F65">
    <cfRule type="containsBlanks" dxfId="1021" priority="1135">
      <formula>LEN(TRIM(F62))=0</formula>
    </cfRule>
  </conditionalFormatting>
  <conditionalFormatting sqref="B62:C62">
    <cfRule type="containsBlanks" dxfId="1020" priority="1136">
      <formula>LEN(TRIM(B62))=0</formula>
    </cfRule>
  </conditionalFormatting>
  <conditionalFormatting sqref="M62">
    <cfRule type="expression" dxfId="1019" priority="1131">
      <formula>AND(M62=0,L62&lt;&gt;"")</formula>
    </cfRule>
  </conditionalFormatting>
  <conditionalFormatting sqref="L62">
    <cfRule type="expression" dxfId="1018" priority="1132">
      <formula>AND(L62="",M62&gt;0)</formula>
    </cfRule>
  </conditionalFormatting>
  <conditionalFormatting sqref="L62:M62">
    <cfRule type="cellIs" dxfId="1017" priority="1133" operator="equal">
      <formula>0</formula>
    </cfRule>
  </conditionalFormatting>
  <conditionalFormatting sqref="R62">
    <cfRule type="containsText" dxfId="1016" priority="1130" operator="containsText" text="Error">
      <formula>NOT(ISERROR(SEARCH("Error",R62)))</formula>
    </cfRule>
  </conditionalFormatting>
  <conditionalFormatting sqref="N62">
    <cfRule type="expression" dxfId="1015" priority="1129">
      <formula>ISNUMBER(N62)=FALSE</formula>
    </cfRule>
  </conditionalFormatting>
  <conditionalFormatting sqref="D63:E63">
    <cfRule type="containsBlanks" dxfId="1014" priority="1128">
      <formula>LEN(TRIM(D63))=0</formula>
    </cfRule>
  </conditionalFormatting>
  <conditionalFormatting sqref="G63 I63:J63">
    <cfRule type="containsBlanks" dxfId="1013" priority="1123">
      <formula>LEN(TRIM(G63))=0</formula>
    </cfRule>
  </conditionalFormatting>
  <conditionalFormatting sqref="B63:C63">
    <cfRule type="containsBlanks" dxfId="1012" priority="1124">
      <formula>LEN(TRIM(B63))=0</formula>
    </cfRule>
  </conditionalFormatting>
  <conditionalFormatting sqref="M63">
    <cfRule type="expression" dxfId="1011" priority="1119">
      <formula>AND(M63=0,L63&lt;&gt;"")</formula>
    </cfRule>
  </conditionalFormatting>
  <conditionalFormatting sqref="L63">
    <cfRule type="expression" dxfId="1010" priority="1120">
      <formula>AND(L63="",M63&gt;0)</formula>
    </cfRule>
  </conditionalFormatting>
  <conditionalFormatting sqref="L63:M63">
    <cfRule type="cellIs" dxfId="1009" priority="1121" operator="equal">
      <formula>0</formula>
    </cfRule>
  </conditionalFormatting>
  <conditionalFormatting sqref="R63">
    <cfRule type="containsText" dxfId="1008" priority="1118" operator="containsText" text="Error">
      <formula>NOT(ISERROR(SEARCH("Error",R63)))</formula>
    </cfRule>
  </conditionalFormatting>
  <conditionalFormatting sqref="N63">
    <cfRule type="expression" dxfId="1007" priority="1117">
      <formula>ISNUMBER(N63)=FALSE</formula>
    </cfRule>
  </conditionalFormatting>
  <conditionalFormatting sqref="D64:E64">
    <cfRule type="containsBlanks" dxfId="1006" priority="1116">
      <formula>LEN(TRIM(D64))=0</formula>
    </cfRule>
  </conditionalFormatting>
  <conditionalFormatting sqref="G64 I64:J64">
    <cfRule type="containsBlanks" dxfId="1005" priority="1111">
      <formula>LEN(TRIM(G64))=0</formula>
    </cfRule>
  </conditionalFormatting>
  <conditionalFormatting sqref="B64:C64">
    <cfRule type="containsBlanks" dxfId="1004" priority="1112">
      <formula>LEN(TRIM(B64))=0</formula>
    </cfRule>
  </conditionalFormatting>
  <conditionalFormatting sqref="M64">
    <cfRule type="expression" dxfId="1003" priority="1107">
      <formula>AND(M64=0,L64&lt;&gt;"")</formula>
    </cfRule>
  </conditionalFormatting>
  <conditionalFormatting sqref="L64">
    <cfRule type="expression" dxfId="1002" priority="1108">
      <formula>AND(L64="",M64&gt;0)</formula>
    </cfRule>
  </conditionalFormatting>
  <conditionalFormatting sqref="L64:M64">
    <cfRule type="cellIs" dxfId="1001" priority="1109" operator="equal">
      <formula>0</formula>
    </cfRule>
  </conditionalFormatting>
  <conditionalFormatting sqref="R64">
    <cfRule type="containsText" dxfId="1000" priority="1106" operator="containsText" text="Error">
      <formula>NOT(ISERROR(SEARCH("Error",R64)))</formula>
    </cfRule>
  </conditionalFormatting>
  <conditionalFormatting sqref="N64">
    <cfRule type="expression" dxfId="999" priority="1105">
      <formula>ISNUMBER(N64)=FALSE</formula>
    </cfRule>
  </conditionalFormatting>
  <conditionalFormatting sqref="D65:E65">
    <cfRule type="containsBlanks" dxfId="998" priority="1104">
      <formula>LEN(TRIM(D65))=0</formula>
    </cfRule>
  </conditionalFormatting>
  <conditionalFormatting sqref="G65 I65:J65">
    <cfRule type="containsBlanks" dxfId="997" priority="1099">
      <formula>LEN(TRIM(G65))=0</formula>
    </cfRule>
  </conditionalFormatting>
  <conditionalFormatting sqref="B65:C65">
    <cfRule type="containsBlanks" dxfId="996" priority="1100">
      <formula>LEN(TRIM(B65))=0</formula>
    </cfRule>
  </conditionalFormatting>
  <conditionalFormatting sqref="M65">
    <cfRule type="expression" dxfId="995" priority="1095">
      <formula>AND(M65=0,L65&lt;&gt;"")</formula>
    </cfRule>
  </conditionalFormatting>
  <conditionalFormatting sqref="L65">
    <cfRule type="expression" dxfId="994" priority="1096">
      <formula>AND(L65="",M65&gt;0)</formula>
    </cfRule>
  </conditionalFormatting>
  <conditionalFormatting sqref="L65:M65">
    <cfRule type="cellIs" dxfId="993" priority="1097" operator="equal">
      <formula>0</formula>
    </cfRule>
  </conditionalFormatting>
  <conditionalFormatting sqref="R65">
    <cfRule type="containsText" dxfId="992" priority="1094" operator="containsText" text="Error">
      <formula>NOT(ISERROR(SEARCH("Error",R65)))</formula>
    </cfRule>
  </conditionalFormatting>
  <conditionalFormatting sqref="N65">
    <cfRule type="expression" dxfId="991" priority="1093">
      <formula>ISNUMBER(N65)=FALSE</formula>
    </cfRule>
  </conditionalFormatting>
  <conditionalFormatting sqref="D66:E66">
    <cfRule type="containsBlanks" dxfId="990" priority="1092">
      <formula>LEN(TRIM(D66))=0</formula>
    </cfRule>
  </conditionalFormatting>
  <conditionalFormatting sqref="F66:G66 I66:J66 F67:F73">
    <cfRule type="containsBlanks" dxfId="989" priority="1087">
      <formula>LEN(TRIM(F66))=0</formula>
    </cfRule>
  </conditionalFormatting>
  <conditionalFormatting sqref="B66:C66">
    <cfRule type="containsBlanks" dxfId="988" priority="1088">
      <formula>LEN(TRIM(B66))=0</formula>
    </cfRule>
  </conditionalFormatting>
  <conditionalFormatting sqref="M66">
    <cfRule type="expression" dxfId="987" priority="1083">
      <formula>AND(M66=0,L66&lt;&gt;"")</formula>
    </cfRule>
  </conditionalFormatting>
  <conditionalFormatting sqref="L66">
    <cfRule type="expression" dxfId="986" priority="1084">
      <formula>AND(L66="",M66&gt;0)</formula>
    </cfRule>
  </conditionalFormatting>
  <conditionalFormatting sqref="L66:M66">
    <cfRule type="cellIs" dxfId="985" priority="1085" operator="equal">
      <formula>0</formula>
    </cfRule>
  </conditionalFormatting>
  <conditionalFormatting sqref="R66">
    <cfRule type="containsText" dxfId="984" priority="1082" operator="containsText" text="Error">
      <formula>NOT(ISERROR(SEARCH("Error",R66)))</formula>
    </cfRule>
  </conditionalFormatting>
  <conditionalFormatting sqref="N66">
    <cfRule type="expression" dxfId="983" priority="1081">
      <formula>ISNUMBER(N66)=FALSE</formula>
    </cfRule>
  </conditionalFormatting>
  <conditionalFormatting sqref="D67:E67">
    <cfRule type="containsBlanks" dxfId="982" priority="1080">
      <formula>LEN(TRIM(D67))=0</formula>
    </cfRule>
  </conditionalFormatting>
  <conditionalFormatting sqref="G67 I67:J67">
    <cfRule type="containsBlanks" dxfId="981" priority="1075">
      <formula>LEN(TRIM(G67))=0</formula>
    </cfRule>
  </conditionalFormatting>
  <conditionalFormatting sqref="B67:C67">
    <cfRule type="containsBlanks" dxfId="980" priority="1076">
      <formula>LEN(TRIM(B67))=0</formula>
    </cfRule>
  </conditionalFormatting>
  <conditionalFormatting sqref="M67">
    <cfRule type="expression" dxfId="979" priority="1071">
      <formula>AND(M67=0,L67&lt;&gt;"")</formula>
    </cfRule>
  </conditionalFormatting>
  <conditionalFormatting sqref="L67">
    <cfRule type="expression" dxfId="978" priority="1072">
      <formula>AND(L67="",M67&gt;0)</formula>
    </cfRule>
  </conditionalFormatting>
  <conditionalFormatting sqref="L67:M67">
    <cfRule type="cellIs" dxfId="977" priority="1073" operator="equal">
      <formula>0</formula>
    </cfRule>
  </conditionalFormatting>
  <conditionalFormatting sqref="R67">
    <cfRule type="containsText" dxfId="976" priority="1070" operator="containsText" text="Error">
      <formula>NOT(ISERROR(SEARCH("Error",R67)))</formula>
    </cfRule>
  </conditionalFormatting>
  <conditionalFormatting sqref="N67">
    <cfRule type="expression" dxfId="975" priority="1069">
      <formula>ISNUMBER(N67)=FALSE</formula>
    </cfRule>
  </conditionalFormatting>
  <conditionalFormatting sqref="D68:E68">
    <cfRule type="containsBlanks" dxfId="974" priority="1068">
      <formula>LEN(TRIM(D68))=0</formula>
    </cfRule>
  </conditionalFormatting>
  <conditionalFormatting sqref="G68 I68:J68">
    <cfRule type="containsBlanks" dxfId="973" priority="1063">
      <formula>LEN(TRIM(G68))=0</formula>
    </cfRule>
  </conditionalFormatting>
  <conditionalFormatting sqref="B68:C68">
    <cfRule type="containsBlanks" dxfId="972" priority="1064">
      <formula>LEN(TRIM(B68))=0</formula>
    </cfRule>
  </conditionalFormatting>
  <conditionalFormatting sqref="M68">
    <cfRule type="expression" dxfId="971" priority="1059">
      <formula>AND(M68=0,L68&lt;&gt;"")</formula>
    </cfRule>
  </conditionalFormatting>
  <conditionalFormatting sqref="L68">
    <cfRule type="expression" dxfId="970" priority="1060">
      <formula>AND(L68="",M68&gt;0)</formula>
    </cfRule>
  </conditionalFormatting>
  <conditionalFormatting sqref="L68:M68">
    <cfRule type="cellIs" dxfId="969" priority="1061" operator="equal">
      <formula>0</formula>
    </cfRule>
  </conditionalFormatting>
  <conditionalFormatting sqref="R68">
    <cfRule type="containsText" dxfId="968" priority="1058" operator="containsText" text="Error">
      <formula>NOT(ISERROR(SEARCH("Error",R68)))</formula>
    </cfRule>
  </conditionalFormatting>
  <conditionalFormatting sqref="N68">
    <cfRule type="expression" dxfId="967" priority="1057">
      <formula>ISNUMBER(N68)=FALSE</formula>
    </cfRule>
  </conditionalFormatting>
  <conditionalFormatting sqref="D69:E69">
    <cfRule type="containsBlanks" dxfId="966" priority="1056">
      <formula>LEN(TRIM(D69))=0</formula>
    </cfRule>
  </conditionalFormatting>
  <conditionalFormatting sqref="G69 I69:J69">
    <cfRule type="containsBlanks" dxfId="965" priority="1051">
      <formula>LEN(TRIM(G69))=0</formula>
    </cfRule>
  </conditionalFormatting>
  <conditionalFormatting sqref="B69:C69">
    <cfRule type="containsBlanks" dxfId="964" priority="1052">
      <formula>LEN(TRIM(B69))=0</formula>
    </cfRule>
  </conditionalFormatting>
  <conditionalFormatting sqref="M69">
    <cfRule type="expression" dxfId="963" priority="1047">
      <formula>AND(M69=0,L69&lt;&gt;"")</formula>
    </cfRule>
  </conditionalFormatting>
  <conditionalFormatting sqref="L69">
    <cfRule type="expression" dxfId="962" priority="1048">
      <formula>AND(L69="",M69&gt;0)</formula>
    </cfRule>
  </conditionalFormatting>
  <conditionalFormatting sqref="L69:M69">
    <cfRule type="cellIs" dxfId="961" priority="1049" operator="equal">
      <formula>0</formula>
    </cfRule>
  </conditionalFormatting>
  <conditionalFormatting sqref="R69">
    <cfRule type="containsText" dxfId="960" priority="1046" operator="containsText" text="Error">
      <formula>NOT(ISERROR(SEARCH("Error",R69)))</formula>
    </cfRule>
  </conditionalFormatting>
  <conditionalFormatting sqref="N69">
    <cfRule type="expression" dxfId="959" priority="1045">
      <formula>ISNUMBER(N69)=FALSE</formula>
    </cfRule>
  </conditionalFormatting>
  <conditionalFormatting sqref="D70:E70">
    <cfRule type="containsBlanks" dxfId="958" priority="1044">
      <formula>LEN(TRIM(D70))=0</formula>
    </cfRule>
  </conditionalFormatting>
  <conditionalFormatting sqref="G70:J70 H71:H80">
    <cfRule type="containsBlanks" dxfId="957" priority="1039">
      <formula>LEN(TRIM(G70))=0</formula>
    </cfRule>
  </conditionalFormatting>
  <conditionalFormatting sqref="B70:C70">
    <cfRule type="containsBlanks" dxfId="956" priority="1040">
      <formula>LEN(TRIM(B70))=0</formula>
    </cfRule>
  </conditionalFormatting>
  <conditionalFormatting sqref="M70">
    <cfRule type="expression" dxfId="955" priority="1035">
      <formula>AND(M70=0,L70&lt;&gt;"")</formula>
    </cfRule>
  </conditionalFormatting>
  <conditionalFormatting sqref="L70">
    <cfRule type="expression" dxfId="954" priority="1036">
      <formula>AND(L70="",M70&gt;0)</formula>
    </cfRule>
  </conditionalFormatting>
  <conditionalFormatting sqref="L70:M70">
    <cfRule type="cellIs" dxfId="953" priority="1037" operator="equal">
      <formula>0</formula>
    </cfRule>
  </conditionalFormatting>
  <conditionalFormatting sqref="R70">
    <cfRule type="containsText" dxfId="952" priority="1034" operator="containsText" text="Error">
      <formula>NOT(ISERROR(SEARCH("Error",R70)))</formula>
    </cfRule>
  </conditionalFormatting>
  <conditionalFormatting sqref="N70">
    <cfRule type="expression" dxfId="951" priority="1033">
      <formula>ISNUMBER(N70)=FALSE</formula>
    </cfRule>
  </conditionalFormatting>
  <conditionalFormatting sqref="D71:E71">
    <cfRule type="containsBlanks" dxfId="950" priority="1032">
      <formula>LEN(TRIM(D71))=0</formula>
    </cfRule>
  </conditionalFormatting>
  <conditionalFormatting sqref="H81">
    <cfRule type="expression" dxfId="949" priority="910">
      <formula>ISNUMBER(H81)=FALSE</formula>
    </cfRule>
  </conditionalFormatting>
  <conditionalFormatting sqref="G71 I71:J71">
    <cfRule type="containsBlanks" dxfId="948" priority="1027">
      <formula>LEN(TRIM(G71))=0</formula>
    </cfRule>
  </conditionalFormatting>
  <conditionalFormatting sqref="B71:C71">
    <cfRule type="containsBlanks" dxfId="947" priority="1028">
      <formula>LEN(TRIM(B71))=0</formula>
    </cfRule>
  </conditionalFormatting>
  <conditionalFormatting sqref="H81">
    <cfRule type="cellIs" dxfId="946" priority="909" operator="lessThanOrEqual">
      <formula>0</formula>
    </cfRule>
  </conditionalFormatting>
  <conditionalFormatting sqref="M71">
    <cfRule type="expression" dxfId="945" priority="1023">
      <formula>AND(M71=0,L71&lt;&gt;"")</formula>
    </cfRule>
  </conditionalFormatting>
  <conditionalFormatting sqref="L71">
    <cfRule type="expression" dxfId="944" priority="1024">
      <formula>AND(L71="",M71&gt;0)</formula>
    </cfRule>
  </conditionalFormatting>
  <conditionalFormatting sqref="L71:M71">
    <cfRule type="cellIs" dxfId="943" priority="1025" operator="equal">
      <formula>0</formula>
    </cfRule>
  </conditionalFormatting>
  <conditionalFormatting sqref="R71">
    <cfRule type="containsText" dxfId="942" priority="1022" operator="containsText" text="Error">
      <formula>NOT(ISERROR(SEARCH("Error",R71)))</formula>
    </cfRule>
  </conditionalFormatting>
  <conditionalFormatting sqref="N71">
    <cfRule type="expression" dxfId="941" priority="1021">
      <formula>ISNUMBER(N71)=FALSE</formula>
    </cfRule>
  </conditionalFormatting>
  <conditionalFormatting sqref="D72:E72">
    <cfRule type="containsBlanks" dxfId="940" priority="1020">
      <formula>LEN(TRIM(D72))=0</formula>
    </cfRule>
  </conditionalFormatting>
  <conditionalFormatting sqref="G72 I72:J72">
    <cfRule type="containsBlanks" dxfId="939" priority="1015">
      <formula>LEN(TRIM(G72))=0</formula>
    </cfRule>
  </conditionalFormatting>
  <conditionalFormatting sqref="B72:C72">
    <cfRule type="containsBlanks" dxfId="938" priority="1016">
      <formula>LEN(TRIM(B72))=0</formula>
    </cfRule>
  </conditionalFormatting>
  <conditionalFormatting sqref="M72">
    <cfRule type="expression" dxfId="937" priority="1011">
      <formula>AND(M72=0,L72&lt;&gt;"")</formula>
    </cfRule>
  </conditionalFormatting>
  <conditionalFormatting sqref="L72">
    <cfRule type="expression" dxfId="936" priority="1012">
      <formula>AND(L72="",M72&gt;0)</formula>
    </cfRule>
  </conditionalFormatting>
  <conditionalFormatting sqref="L72:M72">
    <cfRule type="cellIs" dxfId="935" priority="1013" operator="equal">
      <formula>0</formula>
    </cfRule>
  </conditionalFormatting>
  <conditionalFormatting sqref="R72">
    <cfRule type="containsText" dxfId="934" priority="1010" operator="containsText" text="Error">
      <formula>NOT(ISERROR(SEARCH("Error",R72)))</formula>
    </cfRule>
  </conditionalFormatting>
  <conditionalFormatting sqref="N72">
    <cfRule type="expression" dxfId="933" priority="1009">
      <formula>ISNUMBER(N72)=FALSE</formula>
    </cfRule>
  </conditionalFormatting>
  <conditionalFormatting sqref="D73:E73">
    <cfRule type="containsBlanks" dxfId="932" priority="1008">
      <formula>LEN(TRIM(D73))=0</formula>
    </cfRule>
  </conditionalFormatting>
  <conditionalFormatting sqref="G73 I73:J73">
    <cfRule type="containsBlanks" dxfId="931" priority="1003">
      <formula>LEN(TRIM(G73))=0</formula>
    </cfRule>
  </conditionalFormatting>
  <conditionalFormatting sqref="B73:C73">
    <cfRule type="containsBlanks" dxfId="930" priority="1004">
      <formula>LEN(TRIM(B73))=0</formula>
    </cfRule>
  </conditionalFormatting>
  <conditionalFormatting sqref="M73">
    <cfRule type="expression" dxfId="929" priority="999">
      <formula>AND(M73=0,L73&lt;&gt;"")</formula>
    </cfRule>
  </conditionalFormatting>
  <conditionalFormatting sqref="L73">
    <cfRule type="expression" dxfId="928" priority="1000">
      <formula>AND(L73="",M73&gt;0)</formula>
    </cfRule>
  </conditionalFormatting>
  <conditionalFormatting sqref="L73:M73">
    <cfRule type="cellIs" dxfId="927" priority="1001" operator="equal">
      <formula>0</formula>
    </cfRule>
  </conditionalFormatting>
  <conditionalFormatting sqref="R73">
    <cfRule type="containsText" dxfId="926" priority="998" operator="containsText" text="Error">
      <formula>NOT(ISERROR(SEARCH("Error",R73)))</formula>
    </cfRule>
  </conditionalFormatting>
  <conditionalFormatting sqref="N73">
    <cfRule type="expression" dxfId="925" priority="997">
      <formula>ISNUMBER(N73)=FALSE</formula>
    </cfRule>
  </conditionalFormatting>
  <conditionalFormatting sqref="D74:E74">
    <cfRule type="containsBlanks" dxfId="924" priority="996">
      <formula>LEN(TRIM(D74))=0</formula>
    </cfRule>
  </conditionalFormatting>
  <conditionalFormatting sqref="F74:G74 I74:J74 F75:F81">
    <cfRule type="containsBlanks" dxfId="923" priority="991">
      <formula>LEN(TRIM(F74))=0</formula>
    </cfRule>
  </conditionalFormatting>
  <conditionalFormatting sqref="B74:C74">
    <cfRule type="containsBlanks" dxfId="922" priority="992">
      <formula>LEN(TRIM(B74))=0</formula>
    </cfRule>
  </conditionalFormatting>
  <conditionalFormatting sqref="M74">
    <cfRule type="expression" dxfId="921" priority="987">
      <formula>AND(M74=0,L74&lt;&gt;"")</formula>
    </cfRule>
  </conditionalFormatting>
  <conditionalFormatting sqref="L74">
    <cfRule type="expression" dxfId="920" priority="988">
      <formula>AND(L74="",M74&gt;0)</formula>
    </cfRule>
  </conditionalFormatting>
  <conditionalFormatting sqref="L74:M74">
    <cfRule type="cellIs" dxfId="919" priority="989" operator="equal">
      <formula>0</formula>
    </cfRule>
  </conditionalFormatting>
  <conditionalFormatting sqref="R74">
    <cfRule type="containsText" dxfId="918" priority="986" operator="containsText" text="Error">
      <formula>NOT(ISERROR(SEARCH("Error",R74)))</formula>
    </cfRule>
  </conditionalFormatting>
  <conditionalFormatting sqref="N74">
    <cfRule type="expression" dxfId="917" priority="985">
      <formula>ISNUMBER(N74)=FALSE</formula>
    </cfRule>
  </conditionalFormatting>
  <conditionalFormatting sqref="D75:E75">
    <cfRule type="containsBlanks" dxfId="916" priority="984">
      <formula>LEN(TRIM(D75))=0</formula>
    </cfRule>
  </conditionalFormatting>
  <conditionalFormatting sqref="G75 I75:J75">
    <cfRule type="containsBlanks" dxfId="915" priority="979">
      <formula>LEN(TRIM(G75))=0</formula>
    </cfRule>
  </conditionalFormatting>
  <conditionalFormatting sqref="B75:C75">
    <cfRule type="containsBlanks" dxfId="914" priority="980">
      <formula>LEN(TRIM(B75))=0</formula>
    </cfRule>
  </conditionalFormatting>
  <conditionalFormatting sqref="M75">
    <cfRule type="expression" dxfId="913" priority="975">
      <formula>AND(M75=0,L75&lt;&gt;"")</formula>
    </cfRule>
  </conditionalFormatting>
  <conditionalFormatting sqref="L75">
    <cfRule type="expression" dxfId="912" priority="976">
      <formula>AND(L75="",M75&gt;0)</formula>
    </cfRule>
  </conditionalFormatting>
  <conditionalFormatting sqref="L75:M75">
    <cfRule type="cellIs" dxfId="911" priority="977" operator="equal">
      <formula>0</formula>
    </cfRule>
  </conditionalFormatting>
  <conditionalFormatting sqref="R75">
    <cfRule type="containsText" dxfId="910" priority="974" operator="containsText" text="Error">
      <formula>NOT(ISERROR(SEARCH("Error",R75)))</formula>
    </cfRule>
  </conditionalFormatting>
  <conditionalFormatting sqref="N75">
    <cfRule type="expression" dxfId="909" priority="973">
      <formula>ISNUMBER(N75)=FALSE</formula>
    </cfRule>
  </conditionalFormatting>
  <conditionalFormatting sqref="D76:E76">
    <cfRule type="containsBlanks" dxfId="908" priority="972">
      <formula>LEN(TRIM(D76))=0</formula>
    </cfRule>
  </conditionalFormatting>
  <conditionalFormatting sqref="G76 I76:J76">
    <cfRule type="containsBlanks" dxfId="907" priority="967">
      <formula>LEN(TRIM(G76))=0</formula>
    </cfRule>
  </conditionalFormatting>
  <conditionalFormatting sqref="B76:C76">
    <cfRule type="containsBlanks" dxfId="906" priority="968">
      <formula>LEN(TRIM(B76))=0</formula>
    </cfRule>
  </conditionalFormatting>
  <conditionalFormatting sqref="M76">
    <cfRule type="expression" dxfId="905" priority="963">
      <formula>AND(M76=0,L76&lt;&gt;"")</formula>
    </cfRule>
  </conditionalFormatting>
  <conditionalFormatting sqref="L76">
    <cfRule type="expression" dxfId="904" priority="964">
      <formula>AND(L76="",M76&gt;0)</formula>
    </cfRule>
  </conditionalFormatting>
  <conditionalFormatting sqref="L76:M76">
    <cfRule type="cellIs" dxfId="903" priority="965" operator="equal">
      <formula>0</formula>
    </cfRule>
  </conditionalFormatting>
  <conditionalFormatting sqref="R76">
    <cfRule type="containsText" dxfId="902" priority="962" operator="containsText" text="Error">
      <formula>NOT(ISERROR(SEARCH("Error",R76)))</formula>
    </cfRule>
  </conditionalFormatting>
  <conditionalFormatting sqref="N76">
    <cfRule type="expression" dxfId="901" priority="961">
      <formula>ISNUMBER(N76)=FALSE</formula>
    </cfRule>
  </conditionalFormatting>
  <conditionalFormatting sqref="D77:E77">
    <cfRule type="containsBlanks" dxfId="900" priority="960">
      <formula>LEN(TRIM(D77))=0</formula>
    </cfRule>
  </conditionalFormatting>
  <conditionalFormatting sqref="G77 I77:J77">
    <cfRule type="containsBlanks" dxfId="899" priority="955">
      <formula>LEN(TRIM(G77))=0</formula>
    </cfRule>
  </conditionalFormatting>
  <conditionalFormatting sqref="B77:C77">
    <cfRule type="containsBlanks" dxfId="898" priority="956">
      <formula>LEN(TRIM(B77))=0</formula>
    </cfRule>
  </conditionalFormatting>
  <conditionalFormatting sqref="M77">
    <cfRule type="expression" dxfId="897" priority="951">
      <formula>AND(M77=0,L77&lt;&gt;"")</formula>
    </cfRule>
  </conditionalFormatting>
  <conditionalFormatting sqref="L77">
    <cfRule type="expression" dxfId="896" priority="952">
      <formula>AND(L77="",M77&gt;0)</formula>
    </cfRule>
  </conditionalFormatting>
  <conditionalFormatting sqref="L77:M77">
    <cfRule type="cellIs" dxfId="895" priority="953" operator="equal">
      <formula>0</formula>
    </cfRule>
  </conditionalFormatting>
  <conditionalFormatting sqref="R77">
    <cfRule type="containsText" dxfId="894" priority="950" operator="containsText" text="Error">
      <formula>NOT(ISERROR(SEARCH("Error",R77)))</formula>
    </cfRule>
  </conditionalFormatting>
  <conditionalFormatting sqref="N77">
    <cfRule type="expression" dxfId="893" priority="949">
      <formula>ISNUMBER(N77)=FALSE</formula>
    </cfRule>
  </conditionalFormatting>
  <conditionalFormatting sqref="D78:E78">
    <cfRule type="containsBlanks" dxfId="892" priority="948">
      <formula>LEN(TRIM(D78))=0</formula>
    </cfRule>
  </conditionalFormatting>
  <conditionalFormatting sqref="G78 I78:J78">
    <cfRule type="containsBlanks" dxfId="891" priority="943">
      <formula>LEN(TRIM(G78))=0</formula>
    </cfRule>
  </conditionalFormatting>
  <conditionalFormatting sqref="B78:C78">
    <cfRule type="containsBlanks" dxfId="890" priority="944">
      <formula>LEN(TRIM(B78))=0</formula>
    </cfRule>
  </conditionalFormatting>
  <conditionalFormatting sqref="M78">
    <cfRule type="expression" dxfId="889" priority="939">
      <formula>AND(M78=0,L78&lt;&gt;"")</formula>
    </cfRule>
  </conditionalFormatting>
  <conditionalFormatting sqref="L78">
    <cfRule type="expression" dxfId="888" priority="940">
      <formula>AND(L78="",M78&gt;0)</formula>
    </cfRule>
  </conditionalFormatting>
  <conditionalFormatting sqref="L78:M78">
    <cfRule type="cellIs" dxfId="887" priority="941" operator="equal">
      <formula>0</formula>
    </cfRule>
  </conditionalFormatting>
  <conditionalFormatting sqref="R78">
    <cfRule type="containsText" dxfId="886" priority="938" operator="containsText" text="Error">
      <formula>NOT(ISERROR(SEARCH("Error",R78)))</formula>
    </cfRule>
  </conditionalFormatting>
  <conditionalFormatting sqref="N78">
    <cfRule type="expression" dxfId="885" priority="937">
      <formula>ISNUMBER(N78)=FALSE</formula>
    </cfRule>
  </conditionalFormatting>
  <conditionalFormatting sqref="D79:E79">
    <cfRule type="containsBlanks" dxfId="884" priority="936">
      <formula>LEN(TRIM(D79))=0</formula>
    </cfRule>
  </conditionalFormatting>
  <conditionalFormatting sqref="G79 I79:J79">
    <cfRule type="containsBlanks" dxfId="883" priority="931">
      <formula>LEN(TRIM(G79))=0</formula>
    </cfRule>
  </conditionalFormatting>
  <conditionalFormatting sqref="B79:C79">
    <cfRule type="containsBlanks" dxfId="882" priority="932">
      <formula>LEN(TRIM(B79))=0</formula>
    </cfRule>
  </conditionalFormatting>
  <conditionalFormatting sqref="M79">
    <cfRule type="expression" dxfId="881" priority="927">
      <formula>AND(M79=0,L79&lt;&gt;"")</formula>
    </cfRule>
  </conditionalFormatting>
  <conditionalFormatting sqref="L79">
    <cfRule type="expression" dxfId="880" priority="928">
      <formula>AND(L79="",M79&gt;0)</formula>
    </cfRule>
  </conditionalFormatting>
  <conditionalFormatting sqref="L79:M79">
    <cfRule type="cellIs" dxfId="879" priority="929" operator="equal">
      <formula>0</formula>
    </cfRule>
  </conditionalFormatting>
  <conditionalFormatting sqref="R79">
    <cfRule type="containsText" dxfId="878" priority="926" operator="containsText" text="Error">
      <formula>NOT(ISERROR(SEARCH("Error",R79)))</formula>
    </cfRule>
  </conditionalFormatting>
  <conditionalFormatting sqref="N79">
    <cfRule type="expression" dxfId="877" priority="925">
      <formula>ISNUMBER(N79)=FALSE</formula>
    </cfRule>
  </conditionalFormatting>
  <conditionalFormatting sqref="D80:E80">
    <cfRule type="containsBlanks" dxfId="876" priority="924">
      <formula>LEN(TRIM(D80))=0</formula>
    </cfRule>
  </conditionalFormatting>
  <conditionalFormatting sqref="G80 I80:J80">
    <cfRule type="containsBlanks" dxfId="875" priority="919">
      <formula>LEN(TRIM(G80))=0</formula>
    </cfRule>
  </conditionalFormatting>
  <conditionalFormatting sqref="B80:C80">
    <cfRule type="containsBlanks" dxfId="874" priority="920">
      <formula>LEN(TRIM(B80))=0</formula>
    </cfRule>
  </conditionalFormatting>
  <conditionalFormatting sqref="M80">
    <cfRule type="expression" dxfId="873" priority="915">
      <formula>AND(M80=0,L80&lt;&gt;"")</formula>
    </cfRule>
  </conditionalFormatting>
  <conditionalFormatting sqref="L80">
    <cfRule type="expression" dxfId="872" priority="916">
      <formula>AND(L80="",M80&gt;0)</formula>
    </cfRule>
  </conditionalFormatting>
  <conditionalFormatting sqref="L80:M80">
    <cfRule type="cellIs" dxfId="871" priority="917" operator="equal">
      <formula>0</formula>
    </cfRule>
  </conditionalFormatting>
  <conditionalFormatting sqref="R80">
    <cfRule type="containsText" dxfId="870" priority="914" operator="containsText" text="Error">
      <formula>NOT(ISERROR(SEARCH("Error",R80)))</formula>
    </cfRule>
  </conditionalFormatting>
  <conditionalFormatting sqref="N80">
    <cfRule type="expression" dxfId="869" priority="913">
      <formula>ISNUMBER(N80)=FALSE</formula>
    </cfRule>
  </conditionalFormatting>
  <conditionalFormatting sqref="D81:E81">
    <cfRule type="containsBlanks" dxfId="868" priority="912">
      <formula>LEN(TRIM(D81))=0</formula>
    </cfRule>
  </conditionalFormatting>
  <conditionalFormatting sqref="G81:J81">
    <cfRule type="containsBlanks" dxfId="867" priority="907">
      <formula>LEN(TRIM(G81))=0</formula>
    </cfRule>
  </conditionalFormatting>
  <conditionalFormatting sqref="B81:C81">
    <cfRule type="containsBlanks" dxfId="866" priority="908">
      <formula>LEN(TRIM(B81))=0</formula>
    </cfRule>
  </conditionalFormatting>
  <conditionalFormatting sqref="M81">
    <cfRule type="expression" dxfId="865" priority="903">
      <formula>AND(M81=0,L81&lt;&gt;"")</formula>
    </cfRule>
  </conditionalFormatting>
  <conditionalFormatting sqref="L81">
    <cfRule type="expression" dxfId="864" priority="904">
      <formula>AND(L81="",M81&gt;0)</formula>
    </cfRule>
  </conditionalFormatting>
  <conditionalFormatting sqref="L81:M81">
    <cfRule type="cellIs" dxfId="863" priority="905" operator="equal">
      <formula>0</formula>
    </cfRule>
  </conditionalFormatting>
  <conditionalFormatting sqref="R81">
    <cfRule type="containsText" dxfId="862" priority="902" operator="containsText" text="Error">
      <formula>NOT(ISERROR(SEARCH("Error",R81)))</formula>
    </cfRule>
  </conditionalFormatting>
  <conditionalFormatting sqref="N81">
    <cfRule type="expression" dxfId="861" priority="901">
      <formula>ISNUMBER(N81)=FALSE</formula>
    </cfRule>
  </conditionalFormatting>
  <conditionalFormatting sqref="D82:E82">
    <cfRule type="containsBlanks" dxfId="860" priority="900">
      <formula>LEN(TRIM(D82))=0</formula>
    </cfRule>
  </conditionalFormatting>
  <conditionalFormatting sqref="F82:K82">
    <cfRule type="containsBlanks" dxfId="859" priority="895">
      <formula>LEN(TRIM(F82))=0</formula>
    </cfRule>
  </conditionalFormatting>
  <conditionalFormatting sqref="B82:C82">
    <cfRule type="containsBlanks" dxfId="858" priority="896">
      <formula>LEN(TRIM(B82))=0</formula>
    </cfRule>
  </conditionalFormatting>
  <conditionalFormatting sqref="M82">
    <cfRule type="expression" dxfId="857" priority="891">
      <formula>AND(M82=0,L82&lt;&gt;"")</formula>
    </cfRule>
  </conditionalFormatting>
  <conditionalFormatting sqref="L82">
    <cfRule type="expression" dxfId="856" priority="892">
      <formula>AND(L82="",M82&gt;0)</formula>
    </cfRule>
  </conditionalFormatting>
  <conditionalFormatting sqref="L82:M82">
    <cfRule type="cellIs" dxfId="855" priority="893" operator="equal">
      <formula>0</formula>
    </cfRule>
  </conditionalFormatting>
  <conditionalFormatting sqref="R82">
    <cfRule type="containsText" dxfId="854" priority="890" operator="containsText" text="Error">
      <formula>NOT(ISERROR(SEARCH("Error",R82)))</formula>
    </cfRule>
  </conditionalFormatting>
  <conditionalFormatting sqref="N82">
    <cfRule type="expression" dxfId="853" priority="889">
      <formula>ISNUMBER(N82)=FALSE</formula>
    </cfRule>
  </conditionalFormatting>
  <conditionalFormatting sqref="D83:E83">
    <cfRule type="containsBlanks" dxfId="852" priority="888">
      <formula>LEN(TRIM(D83))=0</formula>
    </cfRule>
  </conditionalFormatting>
  <conditionalFormatting sqref="F83:G83 J83">
    <cfRule type="containsBlanks" dxfId="851" priority="883">
      <formula>LEN(TRIM(F83))=0</formula>
    </cfRule>
  </conditionalFormatting>
  <conditionalFormatting sqref="B83:C83">
    <cfRule type="containsBlanks" dxfId="850" priority="884">
      <formula>LEN(TRIM(B83))=0</formula>
    </cfRule>
  </conditionalFormatting>
  <conditionalFormatting sqref="M83">
    <cfRule type="expression" dxfId="849" priority="879">
      <formula>AND(M83=0,L83&lt;&gt;"")</formula>
    </cfRule>
  </conditionalFormatting>
  <conditionalFormatting sqref="L83">
    <cfRule type="expression" dxfId="848" priority="880">
      <formula>AND(L83="",M83&gt;0)</formula>
    </cfRule>
  </conditionalFormatting>
  <conditionalFormatting sqref="L83:M83">
    <cfRule type="cellIs" dxfId="847" priority="881" operator="equal">
      <formula>0</formula>
    </cfRule>
  </conditionalFormatting>
  <conditionalFormatting sqref="R83">
    <cfRule type="containsText" dxfId="846" priority="878" operator="containsText" text="Error">
      <formula>NOT(ISERROR(SEARCH("Error",R83)))</formula>
    </cfRule>
  </conditionalFormatting>
  <conditionalFormatting sqref="N83">
    <cfRule type="expression" dxfId="845" priority="877">
      <formula>ISNUMBER(N83)=FALSE</formula>
    </cfRule>
  </conditionalFormatting>
  <conditionalFormatting sqref="D84:E84">
    <cfRule type="containsBlanks" dxfId="844" priority="864">
      <formula>LEN(TRIM(D84))=0</formula>
    </cfRule>
  </conditionalFormatting>
  <conditionalFormatting sqref="F84:G84 J84">
    <cfRule type="containsBlanks" dxfId="843" priority="859">
      <formula>LEN(TRIM(F84))=0</formula>
    </cfRule>
  </conditionalFormatting>
  <conditionalFormatting sqref="B84:C84">
    <cfRule type="containsBlanks" dxfId="842" priority="860">
      <formula>LEN(TRIM(B84))=0</formula>
    </cfRule>
  </conditionalFormatting>
  <conditionalFormatting sqref="M84">
    <cfRule type="expression" dxfId="841" priority="855">
      <formula>AND(M84=0,L84&lt;&gt;"")</formula>
    </cfRule>
  </conditionalFormatting>
  <conditionalFormatting sqref="L84">
    <cfRule type="expression" dxfId="840" priority="856">
      <formula>AND(L84="",M84&gt;0)</formula>
    </cfRule>
  </conditionalFormatting>
  <conditionalFormatting sqref="L84:M84">
    <cfRule type="cellIs" dxfId="839" priority="857" operator="equal">
      <formula>0</formula>
    </cfRule>
  </conditionalFormatting>
  <conditionalFormatting sqref="R84">
    <cfRule type="containsText" dxfId="838" priority="854" operator="containsText" text="Error">
      <formula>NOT(ISERROR(SEARCH("Error",R84)))</formula>
    </cfRule>
  </conditionalFormatting>
  <conditionalFormatting sqref="N84">
    <cfRule type="expression" dxfId="837" priority="853">
      <formula>ISNUMBER(N84)=FALSE</formula>
    </cfRule>
  </conditionalFormatting>
  <conditionalFormatting sqref="D85:E85">
    <cfRule type="containsBlanks" dxfId="836" priority="852">
      <formula>LEN(TRIM(D85))=0</formula>
    </cfRule>
  </conditionalFormatting>
  <conditionalFormatting sqref="F85:G85 J85">
    <cfRule type="containsBlanks" dxfId="835" priority="847">
      <formula>LEN(TRIM(F85))=0</formula>
    </cfRule>
  </conditionalFormatting>
  <conditionalFormatting sqref="B85:C85">
    <cfRule type="containsBlanks" dxfId="834" priority="848">
      <formula>LEN(TRIM(B85))=0</formula>
    </cfRule>
  </conditionalFormatting>
  <conditionalFormatting sqref="M85">
    <cfRule type="expression" dxfId="833" priority="843">
      <formula>AND(M85=0,L85&lt;&gt;"")</formula>
    </cfRule>
  </conditionalFormatting>
  <conditionalFormatting sqref="L85">
    <cfRule type="expression" dxfId="832" priority="844">
      <formula>AND(L85="",M85&gt;0)</formula>
    </cfRule>
  </conditionalFormatting>
  <conditionalFormatting sqref="L85:M85">
    <cfRule type="cellIs" dxfId="831" priority="845" operator="equal">
      <formula>0</formula>
    </cfRule>
  </conditionalFormatting>
  <conditionalFormatting sqref="R85">
    <cfRule type="containsText" dxfId="830" priority="842" operator="containsText" text="Error">
      <formula>NOT(ISERROR(SEARCH("Error",R85)))</formula>
    </cfRule>
  </conditionalFormatting>
  <conditionalFormatting sqref="N85">
    <cfRule type="expression" dxfId="829" priority="841">
      <formula>ISNUMBER(N85)=FALSE</formula>
    </cfRule>
  </conditionalFormatting>
  <conditionalFormatting sqref="D86:E86">
    <cfRule type="containsBlanks" dxfId="828" priority="840">
      <formula>LEN(TRIM(D86))=0</formula>
    </cfRule>
  </conditionalFormatting>
  <conditionalFormatting sqref="F86:G86 J86">
    <cfRule type="containsBlanks" dxfId="827" priority="835">
      <formula>LEN(TRIM(F86))=0</formula>
    </cfRule>
  </conditionalFormatting>
  <conditionalFormatting sqref="B86:C86">
    <cfRule type="containsBlanks" dxfId="826" priority="836">
      <formula>LEN(TRIM(B86))=0</formula>
    </cfRule>
  </conditionalFormatting>
  <conditionalFormatting sqref="K89">
    <cfRule type="cellIs" dxfId="825" priority="798" operator="lessThan">
      <formula>0</formula>
    </cfRule>
    <cfRule type="cellIs" dxfId="824" priority="803" operator="equal">
      <formula>0</formula>
    </cfRule>
  </conditionalFormatting>
  <conditionalFormatting sqref="M86">
    <cfRule type="expression" dxfId="823" priority="831">
      <formula>AND(M86=0,L86&lt;&gt;"")</formula>
    </cfRule>
  </conditionalFormatting>
  <conditionalFormatting sqref="L86">
    <cfRule type="expression" dxfId="822" priority="832">
      <formula>AND(L86="",M86&gt;0)</formula>
    </cfRule>
  </conditionalFormatting>
  <conditionalFormatting sqref="L86:M86">
    <cfRule type="cellIs" dxfId="821" priority="833" operator="equal">
      <formula>0</formula>
    </cfRule>
  </conditionalFormatting>
  <conditionalFormatting sqref="R86">
    <cfRule type="containsText" dxfId="820" priority="830" operator="containsText" text="Error">
      <formula>NOT(ISERROR(SEARCH("Error",R86)))</formula>
    </cfRule>
  </conditionalFormatting>
  <conditionalFormatting sqref="N86">
    <cfRule type="expression" dxfId="819" priority="829">
      <formula>ISNUMBER(N86)=FALSE</formula>
    </cfRule>
  </conditionalFormatting>
  <conditionalFormatting sqref="D87:E87">
    <cfRule type="containsBlanks" dxfId="818" priority="828">
      <formula>LEN(TRIM(D87))=0</formula>
    </cfRule>
  </conditionalFormatting>
  <conditionalFormatting sqref="K89 H89:H95">
    <cfRule type="expression" dxfId="817" priority="802">
      <formula>ISNUMBER(H89)=FALSE</formula>
    </cfRule>
  </conditionalFormatting>
  <conditionalFormatting sqref="F87:G87 J87">
    <cfRule type="containsBlanks" dxfId="816" priority="823">
      <formula>LEN(TRIM(F87))=0</formula>
    </cfRule>
  </conditionalFormatting>
  <conditionalFormatting sqref="B87:C87">
    <cfRule type="containsBlanks" dxfId="815" priority="824">
      <formula>LEN(TRIM(B87))=0</formula>
    </cfRule>
  </conditionalFormatting>
  <conditionalFormatting sqref="H89:H95">
    <cfRule type="cellIs" dxfId="814" priority="801" operator="lessThanOrEqual">
      <formula>0</formula>
    </cfRule>
  </conditionalFormatting>
  <conditionalFormatting sqref="M87">
    <cfRule type="expression" dxfId="813" priority="819">
      <formula>AND(M87=0,L87&lt;&gt;"")</formula>
    </cfRule>
  </conditionalFormatting>
  <conditionalFormatting sqref="L87">
    <cfRule type="expression" dxfId="812" priority="820">
      <formula>AND(L87="",M87&gt;0)</formula>
    </cfRule>
  </conditionalFormatting>
  <conditionalFormatting sqref="L87:M87">
    <cfRule type="cellIs" dxfId="811" priority="821" operator="equal">
      <formula>0</formula>
    </cfRule>
  </conditionalFormatting>
  <conditionalFormatting sqref="R87">
    <cfRule type="containsText" dxfId="810" priority="818" operator="containsText" text="Error">
      <formula>NOT(ISERROR(SEARCH("Error",R87)))</formula>
    </cfRule>
  </conditionalFormatting>
  <conditionalFormatting sqref="N87">
    <cfRule type="expression" dxfId="809" priority="817">
      <formula>ISNUMBER(N87)=FALSE</formula>
    </cfRule>
  </conditionalFormatting>
  <conditionalFormatting sqref="D88:E88">
    <cfRule type="containsBlanks" dxfId="808" priority="816">
      <formula>LEN(TRIM(D88))=0</formula>
    </cfRule>
  </conditionalFormatting>
  <conditionalFormatting sqref="F88:G88 J88">
    <cfRule type="containsBlanks" dxfId="807" priority="811">
      <formula>LEN(TRIM(F88))=0</formula>
    </cfRule>
  </conditionalFormatting>
  <conditionalFormatting sqref="B88:C88">
    <cfRule type="containsBlanks" dxfId="806" priority="812">
      <formula>LEN(TRIM(B88))=0</formula>
    </cfRule>
  </conditionalFormatting>
  <conditionalFormatting sqref="K90">
    <cfRule type="cellIs" dxfId="805" priority="774" operator="lessThan">
      <formula>0</formula>
    </cfRule>
    <cfRule type="cellIs" dxfId="804" priority="779" operator="equal">
      <formula>0</formula>
    </cfRule>
  </conditionalFormatting>
  <conditionalFormatting sqref="M88">
    <cfRule type="expression" dxfId="803" priority="807">
      <formula>AND(M88=0,L88&lt;&gt;"")</formula>
    </cfRule>
  </conditionalFormatting>
  <conditionalFormatting sqref="L88">
    <cfRule type="expression" dxfId="802" priority="808">
      <formula>AND(L88="",M88&gt;0)</formula>
    </cfRule>
  </conditionalFormatting>
  <conditionalFormatting sqref="L88:M88">
    <cfRule type="cellIs" dxfId="801" priority="809" operator="equal">
      <formula>0</formula>
    </cfRule>
  </conditionalFormatting>
  <conditionalFormatting sqref="R88">
    <cfRule type="containsText" dxfId="800" priority="806" operator="containsText" text="Error">
      <formula>NOT(ISERROR(SEARCH("Error",R88)))</formula>
    </cfRule>
  </conditionalFormatting>
  <conditionalFormatting sqref="N88">
    <cfRule type="expression" dxfId="799" priority="805">
      <formula>ISNUMBER(N88)=FALSE</formula>
    </cfRule>
  </conditionalFormatting>
  <conditionalFormatting sqref="D89:E89">
    <cfRule type="containsBlanks" dxfId="798" priority="804">
      <formula>LEN(TRIM(D89))=0</formula>
    </cfRule>
  </conditionalFormatting>
  <conditionalFormatting sqref="K90">
    <cfRule type="expression" dxfId="797" priority="778">
      <formula>ISNUMBER(K90)=FALSE</formula>
    </cfRule>
  </conditionalFormatting>
  <conditionalFormatting sqref="F89:K89 H90:I95">
    <cfRule type="containsBlanks" dxfId="796" priority="799">
      <formula>LEN(TRIM(F89))=0</formula>
    </cfRule>
  </conditionalFormatting>
  <conditionalFormatting sqref="B89:C89">
    <cfRule type="containsBlanks" dxfId="795" priority="800">
      <formula>LEN(TRIM(B89))=0</formula>
    </cfRule>
  </conditionalFormatting>
  <conditionalFormatting sqref="H96">
    <cfRule type="cellIs" dxfId="794" priority="705" operator="lessThanOrEqual">
      <formula>0</formula>
    </cfRule>
  </conditionalFormatting>
  <conditionalFormatting sqref="M89">
    <cfRule type="expression" dxfId="793" priority="795">
      <formula>AND(M89=0,L89&lt;&gt;"")</formula>
    </cfRule>
  </conditionalFormatting>
  <conditionalFormatting sqref="L89">
    <cfRule type="expression" dxfId="792" priority="796">
      <formula>AND(L89="",M89&gt;0)</formula>
    </cfRule>
  </conditionalFormatting>
  <conditionalFormatting sqref="L89:M89">
    <cfRule type="cellIs" dxfId="791" priority="797" operator="equal">
      <formula>0</formula>
    </cfRule>
  </conditionalFormatting>
  <conditionalFormatting sqref="R89">
    <cfRule type="containsText" dxfId="790" priority="794" operator="containsText" text="Error">
      <formula>NOT(ISERROR(SEARCH("Error",R89)))</formula>
    </cfRule>
  </conditionalFormatting>
  <conditionalFormatting sqref="N89">
    <cfRule type="expression" dxfId="789" priority="793">
      <formula>ISNUMBER(N89)=FALSE</formula>
    </cfRule>
  </conditionalFormatting>
  <conditionalFormatting sqref="D90:E90">
    <cfRule type="containsBlanks" dxfId="788" priority="780">
      <formula>LEN(TRIM(D90))=0</formula>
    </cfRule>
  </conditionalFormatting>
  <conditionalFormatting sqref="F90:G90 J90:K90">
    <cfRule type="containsBlanks" dxfId="787" priority="775">
      <formula>LEN(TRIM(F90))=0</formula>
    </cfRule>
  </conditionalFormatting>
  <conditionalFormatting sqref="B90:C90">
    <cfRule type="containsBlanks" dxfId="786" priority="776">
      <formula>LEN(TRIM(B90))=0</formula>
    </cfRule>
  </conditionalFormatting>
  <conditionalFormatting sqref="M90">
    <cfRule type="expression" dxfId="785" priority="771">
      <formula>AND(M90=0,L90&lt;&gt;"")</formula>
    </cfRule>
  </conditionalFormatting>
  <conditionalFormatting sqref="L90">
    <cfRule type="expression" dxfId="784" priority="772">
      <formula>AND(L90="",M90&gt;0)</formula>
    </cfRule>
  </conditionalFormatting>
  <conditionalFormatting sqref="L90:M90">
    <cfRule type="cellIs" dxfId="783" priority="773" operator="equal">
      <formula>0</formula>
    </cfRule>
  </conditionalFormatting>
  <conditionalFormatting sqref="R90">
    <cfRule type="containsText" dxfId="782" priority="770" operator="containsText" text="Error">
      <formula>NOT(ISERROR(SEARCH("Error",R90)))</formula>
    </cfRule>
  </conditionalFormatting>
  <conditionalFormatting sqref="N90">
    <cfRule type="expression" dxfId="781" priority="769">
      <formula>ISNUMBER(N90)=FALSE</formula>
    </cfRule>
  </conditionalFormatting>
  <conditionalFormatting sqref="K91">
    <cfRule type="cellIs" dxfId="780" priority="762" operator="lessThan">
      <formula>0</formula>
    </cfRule>
    <cfRule type="cellIs" dxfId="779" priority="767" operator="equal">
      <formula>0</formula>
    </cfRule>
  </conditionalFormatting>
  <conditionalFormatting sqref="D91:E91">
    <cfRule type="containsBlanks" dxfId="778" priority="768">
      <formula>LEN(TRIM(D91))=0</formula>
    </cfRule>
  </conditionalFormatting>
  <conditionalFormatting sqref="K91">
    <cfRule type="expression" dxfId="777" priority="766">
      <formula>ISNUMBER(K91)=FALSE</formula>
    </cfRule>
  </conditionalFormatting>
  <conditionalFormatting sqref="F91:G91 J91:K91">
    <cfRule type="containsBlanks" dxfId="776" priority="763">
      <formula>LEN(TRIM(F91))=0</formula>
    </cfRule>
  </conditionalFormatting>
  <conditionalFormatting sqref="B91:C91">
    <cfRule type="containsBlanks" dxfId="775" priority="764">
      <formula>LEN(TRIM(B91))=0</formula>
    </cfRule>
  </conditionalFormatting>
  <conditionalFormatting sqref="M91">
    <cfRule type="expression" dxfId="774" priority="759">
      <formula>AND(M91=0,L91&lt;&gt;"")</formula>
    </cfRule>
  </conditionalFormatting>
  <conditionalFormatting sqref="L91">
    <cfRule type="expression" dxfId="773" priority="760">
      <formula>AND(L91="",M91&gt;0)</formula>
    </cfRule>
  </conditionalFormatting>
  <conditionalFormatting sqref="L91:M91">
    <cfRule type="cellIs" dxfId="772" priority="761" operator="equal">
      <formula>0</formula>
    </cfRule>
  </conditionalFormatting>
  <conditionalFormatting sqref="R91">
    <cfRule type="containsText" dxfId="771" priority="758" operator="containsText" text="Error">
      <formula>NOT(ISERROR(SEARCH("Error",R91)))</formula>
    </cfRule>
  </conditionalFormatting>
  <conditionalFormatting sqref="N91">
    <cfRule type="expression" dxfId="770" priority="757">
      <formula>ISNUMBER(N91)=FALSE</formula>
    </cfRule>
  </conditionalFormatting>
  <conditionalFormatting sqref="D92:E92">
    <cfRule type="containsBlanks" dxfId="769" priority="756">
      <formula>LEN(TRIM(D92))=0</formula>
    </cfRule>
  </conditionalFormatting>
  <conditionalFormatting sqref="K92">
    <cfRule type="expression" dxfId="768" priority="754">
      <formula>ISNUMBER(K92)=FALSE</formula>
    </cfRule>
  </conditionalFormatting>
  <conditionalFormatting sqref="F92:G92 J92:K92">
    <cfRule type="containsBlanks" dxfId="767" priority="751">
      <formula>LEN(TRIM(F92))=0</formula>
    </cfRule>
  </conditionalFormatting>
  <conditionalFormatting sqref="B92:C92">
    <cfRule type="containsBlanks" dxfId="766" priority="752">
      <formula>LEN(TRIM(B92))=0</formula>
    </cfRule>
  </conditionalFormatting>
  <conditionalFormatting sqref="K92">
    <cfRule type="cellIs" dxfId="765" priority="750" operator="lessThan">
      <formula>0</formula>
    </cfRule>
    <cfRule type="cellIs" dxfId="764" priority="755" operator="equal">
      <formula>0</formula>
    </cfRule>
  </conditionalFormatting>
  <conditionalFormatting sqref="M92">
    <cfRule type="expression" dxfId="763" priority="747">
      <formula>AND(M92=0,L92&lt;&gt;"")</formula>
    </cfRule>
  </conditionalFormatting>
  <conditionalFormatting sqref="L92">
    <cfRule type="expression" dxfId="762" priority="748">
      <formula>AND(L92="",M92&gt;0)</formula>
    </cfRule>
  </conditionalFormatting>
  <conditionalFormatting sqref="L92:M92">
    <cfRule type="cellIs" dxfId="761" priority="749" operator="equal">
      <formula>0</formula>
    </cfRule>
  </conditionalFormatting>
  <conditionalFormatting sqref="R92">
    <cfRule type="containsText" dxfId="760" priority="746" operator="containsText" text="Error">
      <formula>NOT(ISERROR(SEARCH("Error",R92)))</formula>
    </cfRule>
  </conditionalFormatting>
  <conditionalFormatting sqref="N92">
    <cfRule type="expression" dxfId="759" priority="745">
      <formula>ISNUMBER(N92)=FALSE</formula>
    </cfRule>
  </conditionalFormatting>
  <conditionalFormatting sqref="D93:E93">
    <cfRule type="containsBlanks" dxfId="758" priority="744">
      <formula>LEN(TRIM(D93))=0</formula>
    </cfRule>
  </conditionalFormatting>
  <conditionalFormatting sqref="K93">
    <cfRule type="expression" dxfId="757" priority="742">
      <formula>ISNUMBER(K93)=FALSE</formula>
    </cfRule>
  </conditionalFormatting>
  <conditionalFormatting sqref="F93:G93 J93:K93">
    <cfRule type="containsBlanks" dxfId="756" priority="739">
      <formula>LEN(TRIM(F93))=0</formula>
    </cfRule>
  </conditionalFormatting>
  <conditionalFormatting sqref="B93:C93">
    <cfRule type="containsBlanks" dxfId="755" priority="740">
      <formula>LEN(TRIM(B93))=0</formula>
    </cfRule>
  </conditionalFormatting>
  <conditionalFormatting sqref="K93">
    <cfRule type="cellIs" dxfId="754" priority="738" operator="lessThan">
      <formula>0</formula>
    </cfRule>
    <cfRule type="cellIs" dxfId="753" priority="743" operator="equal">
      <formula>0</formula>
    </cfRule>
  </conditionalFormatting>
  <conditionalFormatting sqref="M93">
    <cfRule type="expression" dxfId="752" priority="735">
      <formula>AND(M93=0,L93&lt;&gt;"")</formula>
    </cfRule>
  </conditionalFormatting>
  <conditionalFormatting sqref="L93">
    <cfRule type="expression" dxfId="751" priority="736">
      <formula>AND(L93="",M93&gt;0)</formula>
    </cfRule>
  </conditionalFormatting>
  <conditionalFormatting sqref="L93:M93">
    <cfRule type="cellIs" dxfId="750" priority="737" operator="equal">
      <formula>0</formula>
    </cfRule>
  </conditionalFormatting>
  <conditionalFormatting sqref="R93">
    <cfRule type="containsText" dxfId="749" priority="734" operator="containsText" text="Error">
      <formula>NOT(ISERROR(SEARCH("Error",R93)))</formula>
    </cfRule>
  </conditionalFormatting>
  <conditionalFormatting sqref="N93">
    <cfRule type="expression" dxfId="748" priority="733">
      <formula>ISNUMBER(N93)=FALSE</formula>
    </cfRule>
  </conditionalFormatting>
  <conditionalFormatting sqref="D94:E94">
    <cfRule type="containsBlanks" dxfId="747" priority="732">
      <formula>LEN(TRIM(D94))=0</formula>
    </cfRule>
  </conditionalFormatting>
  <conditionalFormatting sqref="K94">
    <cfRule type="expression" dxfId="746" priority="730">
      <formula>ISNUMBER(K94)=FALSE</formula>
    </cfRule>
  </conditionalFormatting>
  <conditionalFormatting sqref="F94:G94 J94:K94">
    <cfRule type="containsBlanks" dxfId="745" priority="727">
      <formula>LEN(TRIM(F94))=0</formula>
    </cfRule>
  </conditionalFormatting>
  <conditionalFormatting sqref="B94:C94">
    <cfRule type="containsBlanks" dxfId="744" priority="728">
      <formula>LEN(TRIM(B94))=0</formula>
    </cfRule>
  </conditionalFormatting>
  <conditionalFormatting sqref="K94">
    <cfRule type="cellIs" dxfId="743" priority="726" operator="lessThan">
      <formula>0</formula>
    </cfRule>
    <cfRule type="cellIs" dxfId="742" priority="731" operator="equal">
      <formula>0</formula>
    </cfRule>
  </conditionalFormatting>
  <conditionalFormatting sqref="M94">
    <cfRule type="expression" dxfId="741" priority="723">
      <formula>AND(M94=0,L94&lt;&gt;"")</formula>
    </cfRule>
  </conditionalFormatting>
  <conditionalFormatting sqref="L94">
    <cfRule type="expression" dxfId="740" priority="724">
      <formula>AND(L94="",M94&gt;0)</formula>
    </cfRule>
  </conditionalFormatting>
  <conditionalFormatting sqref="L94:M94">
    <cfRule type="cellIs" dxfId="739" priority="725" operator="equal">
      <formula>0</formula>
    </cfRule>
  </conditionalFormatting>
  <conditionalFormatting sqref="R94">
    <cfRule type="containsText" dxfId="738" priority="722" operator="containsText" text="Error">
      <formula>NOT(ISERROR(SEARCH("Error",R94)))</formula>
    </cfRule>
  </conditionalFormatting>
  <conditionalFormatting sqref="N94">
    <cfRule type="expression" dxfId="737" priority="721">
      <formula>ISNUMBER(N94)=FALSE</formula>
    </cfRule>
  </conditionalFormatting>
  <conditionalFormatting sqref="D95:E95">
    <cfRule type="containsBlanks" dxfId="736" priority="720">
      <formula>LEN(TRIM(D95))=0</formula>
    </cfRule>
  </conditionalFormatting>
  <conditionalFormatting sqref="K95">
    <cfRule type="expression" dxfId="735" priority="718">
      <formula>ISNUMBER(K95)=FALSE</formula>
    </cfRule>
  </conditionalFormatting>
  <conditionalFormatting sqref="F95:G95 J95:K95">
    <cfRule type="containsBlanks" dxfId="734" priority="715">
      <formula>LEN(TRIM(F95))=0</formula>
    </cfRule>
  </conditionalFormatting>
  <conditionalFormatting sqref="B95:C95">
    <cfRule type="containsBlanks" dxfId="733" priority="716">
      <formula>LEN(TRIM(B95))=0</formula>
    </cfRule>
  </conditionalFormatting>
  <conditionalFormatting sqref="K95">
    <cfRule type="cellIs" dxfId="732" priority="714" operator="lessThan">
      <formula>0</formula>
    </cfRule>
    <cfRule type="cellIs" dxfId="731" priority="719" operator="equal">
      <formula>0</formula>
    </cfRule>
  </conditionalFormatting>
  <conditionalFormatting sqref="M95">
    <cfRule type="expression" dxfId="730" priority="711">
      <formula>AND(M95=0,L95&lt;&gt;"")</formula>
    </cfRule>
  </conditionalFormatting>
  <conditionalFormatting sqref="L95">
    <cfRule type="expression" dxfId="729" priority="712">
      <formula>AND(L95="",M95&gt;0)</formula>
    </cfRule>
  </conditionalFormatting>
  <conditionalFormatting sqref="L95:M95">
    <cfRule type="cellIs" dxfId="728" priority="713" operator="equal">
      <formula>0</formula>
    </cfRule>
  </conditionalFormatting>
  <conditionalFormatting sqref="R95">
    <cfRule type="containsText" dxfId="727" priority="710" operator="containsText" text="Error">
      <formula>NOT(ISERROR(SEARCH("Error",R95)))</formula>
    </cfRule>
  </conditionalFormatting>
  <conditionalFormatting sqref="N95">
    <cfRule type="expression" dxfId="726" priority="709">
      <formula>ISNUMBER(N95)=FALSE</formula>
    </cfRule>
  </conditionalFormatting>
  <conditionalFormatting sqref="D96:E96">
    <cfRule type="containsBlanks" dxfId="725" priority="708">
      <formula>LEN(TRIM(D96))=0</formula>
    </cfRule>
  </conditionalFormatting>
  <conditionalFormatting sqref="H96">
    <cfRule type="expression" dxfId="724" priority="706">
      <formula>ISNUMBER(H96)=FALSE</formula>
    </cfRule>
  </conditionalFormatting>
  <conditionalFormatting sqref="F96:K96">
    <cfRule type="containsBlanks" dxfId="723" priority="703">
      <formula>LEN(TRIM(F96))=0</formula>
    </cfRule>
  </conditionalFormatting>
  <conditionalFormatting sqref="B96:C96">
    <cfRule type="containsBlanks" dxfId="722" priority="704">
      <formula>LEN(TRIM(B96))=0</formula>
    </cfRule>
  </conditionalFormatting>
  <conditionalFormatting sqref="M96">
    <cfRule type="expression" dxfId="721" priority="699">
      <formula>AND(M96=0,L96&lt;&gt;"")</formula>
    </cfRule>
  </conditionalFormatting>
  <conditionalFormatting sqref="L96">
    <cfRule type="expression" dxfId="720" priority="700">
      <formula>AND(L96="",M96&gt;0)</formula>
    </cfRule>
  </conditionalFormatting>
  <conditionalFormatting sqref="L96:M96">
    <cfRule type="cellIs" dxfId="719" priority="701" operator="equal">
      <formula>0</formula>
    </cfRule>
  </conditionalFormatting>
  <conditionalFormatting sqref="R96">
    <cfRule type="containsText" dxfId="718" priority="698" operator="containsText" text="Error">
      <formula>NOT(ISERROR(SEARCH("Error",R96)))</formula>
    </cfRule>
  </conditionalFormatting>
  <conditionalFormatting sqref="N96">
    <cfRule type="expression" dxfId="717" priority="697">
      <formula>ISNUMBER(N96)=FALSE</formula>
    </cfRule>
  </conditionalFormatting>
  <conditionalFormatting sqref="D97:E97">
    <cfRule type="containsBlanks" dxfId="716" priority="696">
      <formula>LEN(TRIM(D97))=0</formula>
    </cfRule>
  </conditionalFormatting>
  <conditionalFormatting sqref="F97:H97 J97">
    <cfRule type="containsBlanks" dxfId="715" priority="691">
      <formula>LEN(TRIM(F97))=0</formula>
    </cfRule>
  </conditionalFormatting>
  <conditionalFormatting sqref="B97:C97">
    <cfRule type="containsBlanks" dxfId="714" priority="692">
      <formula>LEN(TRIM(B97))=0</formula>
    </cfRule>
  </conditionalFormatting>
  <conditionalFormatting sqref="M97">
    <cfRule type="expression" dxfId="713" priority="687">
      <formula>AND(M97=0,L97&lt;&gt;"")</formula>
    </cfRule>
  </conditionalFormatting>
  <conditionalFormatting sqref="L97">
    <cfRule type="expression" dxfId="712" priority="688">
      <formula>AND(L97="",M97&gt;0)</formula>
    </cfRule>
  </conditionalFormatting>
  <conditionalFormatting sqref="L97:M97">
    <cfRule type="cellIs" dxfId="711" priority="689" operator="equal">
      <formula>0</formula>
    </cfRule>
  </conditionalFormatting>
  <conditionalFormatting sqref="R97">
    <cfRule type="containsText" dxfId="710" priority="686" operator="containsText" text="Error">
      <formula>NOT(ISERROR(SEARCH("Error",R97)))</formula>
    </cfRule>
  </conditionalFormatting>
  <conditionalFormatting sqref="N97">
    <cfRule type="expression" dxfId="709" priority="685">
      <formula>ISNUMBER(N97)=FALSE</formula>
    </cfRule>
  </conditionalFormatting>
  <conditionalFormatting sqref="D98:E98">
    <cfRule type="containsBlanks" dxfId="708" priority="684">
      <formula>LEN(TRIM(D98))=0</formula>
    </cfRule>
  </conditionalFormatting>
  <conditionalFormatting sqref="F98:G98 J98">
    <cfRule type="containsBlanks" dxfId="707" priority="679">
      <formula>LEN(TRIM(F98))=0</formula>
    </cfRule>
  </conditionalFormatting>
  <conditionalFormatting sqref="B98:C98">
    <cfRule type="containsBlanks" dxfId="706" priority="680">
      <formula>LEN(TRIM(B98))=0</formula>
    </cfRule>
  </conditionalFormatting>
  <conditionalFormatting sqref="M98">
    <cfRule type="expression" dxfId="705" priority="675">
      <formula>AND(M98=0,L98&lt;&gt;"")</formula>
    </cfRule>
  </conditionalFormatting>
  <conditionalFormatting sqref="L98">
    <cfRule type="expression" dxfId="704" priority="676">
      <formula>AND(L98="",M98&gt;0)</formula>
    </cfRule>
  </conditionalFormatting>
  <conditionalFormatting sqref="L98:M98">
    <cfRule type="cellIs" dxfId="703" priority="677" operator="equal">
      <formula>0</formula>
    </cfRule>
  </conditionalFormatting>
  <conditionalFormatting sqref="R98">
    <cfRule type="containsText" dxfId="702" priority="674" operator="containsText" text="Error">
      <formula>NOT(ISERROR(SEARCH("Error",R98)))</formula>
    </cfRule>
  </conditionalFormatting>
  <conditionalFormatting sqref="N98">
    <cfRule type="expression" dxfId="701" priority="673">
      <formula>ISNUMBER(N98)=FALSE</formula>
    </cfRule>
  </conditionalFormatting>
  <conditionalFormatting sqref="D99:E99">
    <cfRule type="containsBlanks" dxfId="700" priority="672">
      <formula>LEN(TRIM(D99))=0</formula>
    </cfRule>
  </conditionalFormatting>
  <conditionalFormatting sqref="F99:G99 J99">
    <cfRule type="containsBlanks" dxfId="699" priority="667">
      <formula>LEN(TRIM(F99))=0</formula>
    </cfRule>
  </conditionalFormatting>
  <conditionalFormatting sqref="B99:C99">
    <cfRule type="containsBlanks" dxfId="698" priority="668">
      <formula>LEN(TRIM(B99))=0</formula>
    </cfRule>
  </conditionalFormatting>
  <conditionalFormatting sqref="M99">
    <cfRule type="expression" dxfId="697" priority="663">
      <formula>AND(M99=0,L99&lt;&gt;"")</formula>
    </cfRule>
  </conditionalFormatting>
  <conditionalFormatting sqref="L99">
    <cfRule type="expression" dxfId="696" priority="664">
      <formula>AND(L99="",M99&gt;0)</formula>
    </cfRule>
  </conditionalFormatting>
  <conditionalFormatting sqref="L99:M99">
    <cfRule type="cellIs" dxfId="695" priority="665" operator="equal">
      <formula>0</formula>
    </cfRule>
  </conditionalFormatting>
  <conditionalFormatting sqref="R99">
    <cfRule type="containsText" dxfId="694" priority="662" operator="containsText" text="Error">
      <formula>NOT(ISERROR(SEARCH("Error",R99)))</formula>
    </cfRule>
  </conditionalFormatting>
  <conditionalFormatting sqref="N99">
    <cfRule type="expression" dxfId="693" priority="661">
      <formula>ISNUMBER(N99)=FALSE</formula>
    </cfRule>
  </conditionalFormatting>
  <conditionalFormatting sqref="D100:E100">
    <cfRule type="containsBlanks" dxfId="692" priority="660">
      <formula>LEN(TRIM(D100))=0</formula>
    </cfRule>
  </conditionalFormatting>
  <conditionalFormatting sqref="F100:G100 J100">
    <cfRule type="containsBlanks" dxfId="691" priority="655">
      <formula>LEN(TRIM(F100))=0</formula>
    </cfRule>
  </conditionalFormatting>
  <conditionalFormatting sqref="B100:C100">
    <cfRule type="containsBlanks" dxfId="690" priority="656">
      <formula>LEN(TRIM(B100))=0</formula>
    </cfRule>
  </conditionalFormatting>
  <conditionalFormatting sqref="M100">
    <cfRule type="expression" dxfId="689" priority="651">
      <formula>AND(M100=0,L100&lt;&gt;"")</formula>
    </cfRule>
  </conditionalFormatting>
  <conditionalFormatting sqref="L100">
    <cfRule type="expression" dxfId="688" priority="652">
      <formula>AND(L100="",M100&gt;0)</formula>
    </cfRule>
  </conditionalFormatting>
  <conditionalFormatting sqref="L100:M100">
    <cfRule type="cellIs" dxfId="687" priority="653" operator="equal">
      <formula>0</formula>
    </cfRule>
  </conditionalFormatting>
  <conditionalFormatting sqref="R100">
    <cfRule type="containsText" dxfId="686" priority="650" operator="containsText" text="Error">
      <formula>NOT(ISERROR(SEARCH("Error",R100)))</formula>
    </cfRule>
  </conditionalFormatting>
  <conditionalFormatting sqref="N100">
    <cfRule type="expression" dxfId="685" priority="649">
      <formula>ISNUMBER(N100)=FALSE</formula>
    </cfRule>
  </conditionalFormatting>
  <conditionalFormatting sqref="D101:E101">
    <cfRule type="containsBlanks" dxfId="684" priority="624">
      <formula>LEN(TRIM(D101))=0</formula>
    </cfRule>
  </conditionalFormatting>
  <conditionalFormatting sqref="F101:G101 J101">
    <cfRule type="containsBlanks" dxfId="683" priority="619">
      <formula>LEN(TRIM(F101))=0</formula>
    </cfRule>
  </conditionalFormatting>
  <conditionalFormatting sqref="B101:C101">
    <cfRule type="containsBlanks" dxfId="682" priority="620">
      <formula>LEN(TRIM(B101))=0</formula>
    </cfRule>
  </conditionalFormatting>
  <conditionalFormatting sqref="M101">
    <cfRule type="expression" dxfId="681" priority="615">
      <formula>AND(M101=0,L101&lt;&gt;"")</formula>
    </cfRule>
  </conditionalFormatting>
  <conditionalFormatting sqref="L101">
    <cfRule type="expression" dxfId="680" priority="616">
      <formula>AND(L101="",M101&gt;0)</formula>
    </cfRule>
  </conditionalFormatting>
  <conditionalFormatting sqref="L101:M101">
    <cfRule type="cellIs" dxfId="679" priority="617" operator="equal">
      <formula>0</formula>
    </cfRule>
  </conditionalFormatting>
  <conditionalFormatting sqref="R101">
    <cfRule type="containsText" dxfId="678" priority="614" operator="containsText" text="Error">
      <formula>NOT(ISERROR(SEARCH("Error",R101)))</formula>
    </cfRule>
  </conditionalFormatting>
  <conditionalFormatting sqref="N101">
    <cfRule type="expression" dxfId="677" priority="613">
      <formula>ISNUMBER(N101)=FALSE</formula>
    </cfRule>
  </conditionalFormatting>
  <conditionalFormatting sqref="D102:E102">
    <cfRule type="containsBlanks" dxfId="676" priority="612">
      <formula>LEN(TRIM(D102))=0</formula>
    </cfRule>
  </conditionalFormatting>
  <conditionalFormatting sqref="F102:G102 J102">
    <cfRule type="containsBlanks" dxfId="675" priority="607">
      <formula>LEN(TRIM(F102))=0</formula>
    </cfRule>
  </conditionalFormatting>
  <conditionalFormatting sqref="B102:C102">
    <cfRule type="containsBlanks" dxfId="674" priority="608">
      <formula>LEN(TRIM(B102))=0</formula>
    </cfRule>
  </conditionalFormatting>
  <conditionalFormatting sqref="M102">
    <cfRule type="expression" dxfId="673" priority="603">
      <formula>AND(M102=0,L102&lt;&gt;"")</formula>
    </cfRule>
  </conditionalFormatting>
  <conditionalFormatting sqref="L102">
    <cfRule type="expression" dxfId="672" priority="604">
      <formula>AND(L102="",M102&gt;0)</formula>
    </cfRule>
  </conditionalFormatting>
  <conditionalFormatting sqref="L102:M102">
    <cfRule type="cellIs" dxfId="671" priority="605" operator="equal">
      <formula>0</formula>
    </cfRule>
  </conditionalFormatting>
  <conditionalFormatting sqref="R102">
    <cfRule type="containsText" dxfId="670" priority="602" operator="containsText" text="Error">
      <formula>NOT(ISERROR(SEARCH("Error",R102)))</formula>
    </cfRule>
  </conditionalFormatting>
  <conditionalFormatting sqref="N102">
    <cfRule type="expression" dxfId="669" priority="601">
      <formula>ISNUMBER(N102)=FALSE</formula>
    </cfRule>
  </conditionalFormatting>
  <conditionalFormatting sqref="D103:E103">
    <cfRule type="containsBlanks" dxfId="668" priority="600">
      <formula>LEN(TRIM(D103))=0</formula>
    </cfRule>
  </conditionalFormatting>
  <conditionalFormatting sqref="F103:G103 J103">
    <cfRule type="containsBlanks" dxfId="667" priority="595">
      <formula>LEN(TRIM(F103))=0</formula>
    </cfRule>
  </conditionalFormatting>
  <conditionalFormatting sqref="B103:C103">
    <cfRule type="containsBlanks" dxfId="666" priority="596">
      <formula>LEN(TRIM(B103))=0</formula>
    </cfRule>
  </conditionalFormatting>
  <conditionalFormatting sqref="M103">
    <cfRule type="expression" dxfId="665" priority="591">
      <formula>AND(M103=0,L103&lt;&gt;"")</formula>
    </cfRule>
  </conditionalFormatting>
  <conditionalFormatting sqref="L103">
    <cfRule type="expression" dxfId="664" priority="592">
      <formula>AND(L103="",M103&gt;0)</formula>
    </cfRule>
  </conditionalFormatting>
  <conditionalFormatting sqref="L103:M103">
    <cfRule type="cellIs" dxfId="663" priority="593" operator="equal">
      <formula>0</formula>
    </cfRule>
  </conditionalFormatting>
  <conditionalFormatting sqref="R103">
    <cfRule type="containsText" dxfId="662" priority="590" operator="containsText" text="Error">
      <formula>NOT(ISERROR(SEARCH("Error",R103)))</formula>
    </cfRule>
  </conditionalFormatting>
  <conditionalFormatting sqref="N103">
    <cfRule type="expression" dxfId="661" priority="589">
      <formula>ISNUMBER(N103)=FALSE</formula>
    </cfRule>
  </conditionalFormatting>
  <conditionalFormatting sqref="D104:E104">
    <cfRule type="containsBlanks" dxfId="660" priority="588">
      <formula>LEN(TRIM(D104))=0</formula>
    </cfRule>
  </conditionalFormatting>
  <conditionalFormatting sqref="F104:G104 J104">
    <cfRule type="containsBlanks" dxfId="659" priority="583">
      <formula>LEN(TRIM(F104))=0</formula>
    </cfRule>
  </conditionalFormatting>
  <conditionalFormatting sqref="B104:C104">
    <cfRule type="containsBlanks" dxfId="658" priority="584">
      <formula>LEN(TRIM(B104))=0</formula>
    </cfRule>
  </conditionalFormatting>
  <conditionalFormatting sqref="M104">
    <cfRule type="expression" dxfId="657" priority="579">
      <formula>AND(M104=0,L104&lt;&gt;"")</formula>
    </cfRule>
  </conditionalFormatting>
  <conditionalFormatting sqref="L104">
    <cfRule type="expression" dxfId="656" priority="580">
      <formula>AND(L104="",M104&gt;0)</formula>
    </cfRule>
  </conditionalFormatting>
  <conditionalFormatting sqref="L104:M104">
    <cfRule type="cellIs" dxfId="655" priority="581" operator="equal">
      <formula>0</formula>
    </cfRule>
  </conditionalFormatting>
  <conditionalFormatting sqref="R104">
    <cfRule type="containsText" dxfId="654" priority="578" operator="containsText" text="Error">
      <formula>NOT(ISERROR(SEARCH("Error",R104)))</formula>
    </cfRule>
  </conditionalFormatting>
  <conditionalFormatting sqref="N104">
    <cfRule type="expression" dxfId="653" priority="577">
      <formula>ISNUMBER(N104)=FALSE</formula>
    </cfRule>
  </conditionalFormatting>
  <conditionalFormatting sqref="D106:E106">
    <cfRule type="containsBlanks" dxfId="652" priority="576">
      <formula>LEN(TRIM(D106))=0</formula>
    </cfRule>
  </conditionalFormatting>
  <conditionalFormatting sqref="H115 K115:K124">
    <cfRule type="expression" dxfId="651" priority="454">
      <formula>ISNUMBER(H115)=FALSE</formula>
    </cfRule>
  </conditionalFormatting>
  <conditionalFormatting sqref="F106:H106 J106">
    <cfRule type="containsBlanks" dxfId="650" priority="571">
      <formula>LEN(TRIM(F106))=0</formula>
    </cfRule>
  </conditionalFormatting>
  <conditionalFormatting sqref="B106:C106">
    <cfRule type="containsBlanks" dxfId="649" priority="572">
      <formula>LEN(TRIM(B106))=0</formula>
    </cfRule>
  </conditionalFormatting>
  <conditionalFormatting sqref="K115:K124">
    <cfRule type="cellIs" dxfId="648" priority="450" operator="lessThan">
      <formula>0</formula>
    </cfRule>
    <cfRule type="cellIs" dxfId="647" priority="455" operator="equal">
      <formula>0</formula>
    </cfRule>
  </conditionalFormatting>
  <conditionalFormatting sqref="H115">
    <cfRule type="cellIs" dxfId="646" priority="453" operator="lessThanOrEqual">
      <formula>0</formula>
    </cfRule>
  </conditionalFormatting>
  <conditionalFormatting sqref="M106">
    <cfRule type="expression" dxfId="645" priority="567">
      <formula>AND(M106=0,L106&lt;&gt;"")</formula>
    </cfRule>
  </conditionalFormatting>
  <conditionalFormatting sqref="L106">
    <cfRule type="expression" dxfId="644" priority="568">
      <formula>AND(L106="",M106&gt;0)</formula>
    </cfRule>
  </conditionalFormatting>
  <conditionalFormatting sqref="L106:M106">
    <cfRule type="cellIs" dxfId="643" priority="569" operator="equal">
      <formula>0</formula>
    </cfRule>
  </conditionalFormatting>
  <conditionalFormatting sqref="R106">
    <cfRule type="containsText" dxfId="642" priority="566" operator="containsText" text="Error">
      <formula>NOT(ISERROR(SEARCH("Error",R106)))</formula>
    </cfRule>
  </conditionalFormatting>
  <conditionalFormatting sqref="N106">
    <cfRule type="expression" dxfId="641" priority="565">
      <formula>ISNUMBER(N106)=FALSE</formula>
    </cfRule>
  </conditionalFormatting>
  <conditionalFormatting sqref="D107:E107">
    <cfRule type="containsBlanks" dxfId="640" priority="564">
      <formula>LEN(TRIM(D107))=0</formula>
    </cfRule>
  </conditionalFormatting>
  <conditionalFormatting sqref="F107:G107 J107">
    <cfRule type="containsBlanks" dxfId="639" priority="559">
      <formula>LEN(TRIM(F107))=0</formula>
    </cfRule>
  </conditionalFormatting>
  <conditionalFormatting sqref="B107:C107">
    <cfRule type="containsBlanks" dxfId="638" priority="560">
      <formula>LEN(TRIM(B107))=0</formula>
    </cfRule>
  </conditionalFormatting>
  <conditionalFormatting sqref="M107">
    <cfRule type="expression" dxfId="637" priority="555">
      <formula>AND(M107=0,L107&lt;&gt;"")</formula>
    </cfRule>
  </conditionalFormatting>
  <conditionalFormatting sqref="L107">
    <cfRule type="expression" dxfId="636" priority="556">
      <formula>AND(L107="",M107&gt;0)</formula>
    </cfRule>
  </conditionalFormatting>
  <conditionalFormatting sqref="L107:M107">
    <cfRule type="cellIs" dxfId="635" priority="557" operator="equal">
      <formula>0</formula>
    </cfRule>
  </conditionalFormatting>
  <conditionalFormatting sqref="R107">
    <cfRule type="containsText" dxfId="634" priority="554" operator="containsText" text="Error">
      <formula>NOT(ISERROR(SEARCH("Error",R107)))</formula>
    </cfRule>
  </conditionalFormatting>
  <conditionalFormatting sqref="N107">
    <cfRule type="expression" dxfId="633" priority="553">
      <formula>ISNUMBER(N107)=FALSE</formula>
    </cfRule>
  </conditionalFormatting>
  <conditionalFormatting sqref="D108:E108">
    <cfRule type="containsBlanks" dxfId="632" priority="540">
      <formula>LEN(TRIM(D108))=0</formula>
    </cfRule>
  </conditionalFormatting>
  <conditionalFormatting sqref="F108:G108 J108">
    <cfRule type="containsBlanks" dxfId="631" priority="535">
      <formula>LEN(TRIM(F108))=0</formula>
    </cfRule>
  </conditionalFormatting>
  <conditionalFormatting sqref="B108:C108">
    <cfRule type="containsBlanks" dxfId="630" priority="536">
      <formula>LEN(TRIM(B108))=0</formula>
    </cfRule>
  </conditionalFormatting>
  <conditionalFormatting sqref="M108">
    <cfRule type="expression" dxfId="629" priority="531">
      <formula>AND(M108=0,L108&lt;&gt;"")</formula>
    </cfRule>
  </conditionalFormatting>
  <conditionalFormatting sqref="L108">
    <cfRule type="expression" dxfId="628" priority="532">
      <formula>AND(L108="",M108&gt;0)</formula>
    </cfRule>
  </conditionalFormatting>
  <conditionalFormatting sqref="L108:M108">
    <cfRule type="cellIs" dxfId="627" priority="533" operator="equal">
      <formula>0</formula>
    </cfRule>
  </conditionalFormatting>
  <conditionalFormatting sqref="R108">
    <cfRule type="containsText" dxfId="626" priority="530" operator="containsText" text="Error">
      <formula>NOT(ISERROR(SEARCH("Error",R108)))</formula>
    </cfRule>
  </conditionalFormatting>
  <conditionalFormatting sqref="N108">
    <cfRule type="expression" dxfId="625" priority="529">
      <formula>ISNUMBER(N108)=FALSE</formula>
    </cfRule>
  </conditionalFormatting>
  <conditionalFormatting sqref="D109:E109">
    <cfRule type="containsBlanks" dxfId="624" priority="528">
      <formula>LEN(TRIM(D109))=0</formula>
    </cfRule>
  </conditionalFormatting>
  <conditionalFormatting sqref="F109:G109 J109">
    <cfRule type="containsBlanks" dxfId="623" priority="523">
      <formula>LEN(TRIM(F109))=0</formula>
    </cfRule>
  </conditionalFormatting>
  <conditionalFormatting sqref="B109:C109">
    <cfRule type="containsBlanks" dxfId="622" priority="524">
      <formula>LEN(TRIM(B109))=0</formula>
    </cfRule>
  </conditionalFormatting>
  <conditionalFormatting sqref="M109">
    <cfRule type="expression" dxfId="621" priority="519">
      <formula>AND(M109=0,L109&lt;&gt;"")</formula>
    </cfRule>
  </conditionalFormatting>
  <conditionalFormatting sqref="L109">
    <cfRule type="expression" dxfId="620" priority="520">
      <formula>AND(L109="",M109&gt;0)</formula>
    </cfRule>
  </conditionalFormatting>
  <conditionalFormatting sqref="L109:M109">
    <cfRule type="cellIs" dxfId="619" priority="521" operator="equal">
      <formula>0</formula>
    </cfRule>
  </conditionalFormatting>
  <conditionalFormatting sqref="R109">
    <cfRule type="containsText" dxfId="618" priority="518" operator="containsText" text="Error">
      <formula>NOT(ISERROR(SEARCH("Error",R109)))</formula>
    </cfRule>
  </conditionalFormatting>
  <conditionalFormatting sqref="N109">
    <cfRule type="expression" dxfId="617" priority="517">
      <formula>ISNUMBER(N109)=FALSE</formula>
    </cfRule>
  </conditionalFormatting>
  <conditionalFormatting sqref="D110:E110">
    <cfRule type="containsBlanks" dxfId="616" priority="516">
      <formula>LEN(TRIM(D110))=0</formula>
    </cfRule>
  </conditionalFormatting>
  <conditionalFormatting sqref="F110:G110 J110">
    <cfRule type="containsBlanks" dxfId="615" priority="511">
      <formula>LEN(TRIM(F110))=0</formula>
    </cfRule>
  </conditionalFormatting>
  <conditionalFormatting sqref="B110:C110">
    <cfRule type="containsBlanks" dxfId="614" priority="512">
      <formula>LEN(TRIM(B110))=0</formula>
    </cfRule>
  </conditionalFormatting>
  <conditionalFormatting sqref="M110">
    <cfRule type="expression" dxfId="613" priority="507">
      <formula>AND(M110=0,L110&lt;&gt;"")</formula>
    </cfRule>
  </conditionalFormatting>
  <conditionalFormatting sqref="L110">
    <cfRule type="expression" dxfId="612" priority="508">
      <formula>AND(L110="",M110&gt;0)</formula>
    </cfRule>
  </conditionalFormatting>
  <conditionalFormatting sqref="L110:M110">
    <cfRule type="cellIs" dxfId="611" priority="509" operator="equal">
      <formula>0</formula>
    </cfRule>
  </conditionalFormatting>
  <conditionalFormatting sqref="R110">
    <cfRule type="containsText" dxfId="610" priority="506" operator="containsText" text="Error">
      <formula>NOT(ISERROR(SEARCH("Error",R110)))</formula>
    </cfRule>
  </conditionalFormatting>
  <conditionalFormatting sqref="N110">
    <cfRule type="expression" dxfId="609" priority="505">
      <formula>ISNUMBER(N110)=FALSE</formula>
    </cfRule>
  </conditionalFormatting>
  <conditionalFormatting sqref="D111:E111">
    <cfRule type="containsBlanks" dxfId="608" priority="504">
      <formula>LEN(TRIM(D111))=0</formula>
    </cfRule>
  </conditionalFormatting>
  <conditionalFormatting sqref="F111:G111 J111">
    <cfRule type="containsBlanks" dxfId="607" priority="499">
      <formula>LEN(TRIM(F111))=0</formula>
    </cfRule>
  </conditionalFormatting>
  <conditionalFormatting sqref="B111:C111">
    <cfRule type="containsBlanks" dxfId="606" priority="500">
      <formula>LEN(TRIM(B111))=0</formula>
    </cfRule>
  </conditionalFormatting>
  <conditionalFormatting sqref="H116">
    <cfRule type="cellIs" dxfId="605" priority="429" operator="lessThanOrEqual">
      <formula>0</formula>
    </cfRule>
  </conditionalFormatting>
  <conditionalFormatting sqref="M111">
    <cfRule type="expression" dxfId="604" priority="495">
      <formula>AND(M111=0,L111&lt;&gt;"")</formula>
    </cfRule>
  </conditionalFormatting>
  <conditionalFormatting sqref="L111">
    <cfRule type="expression" dxfId="603" priority="496">
      <formula>AND(L111="",M111&gt;0)</formula>
    </cfRule>
  </conditionalFormatting>
  <conditionalFormatting sqref="L111:M111">
    <cfRule type="cellIs" dxfId="602" priority="497" operator="equal">
      <formula>0</formula>
    </cfRule>
  </conditionalFormatting>
  <conditionalFormatting sqref="R111">
    <cfRule type="containsText" dxfId="601" priority="494" operator="containsText" text="Error">
      <formula>NOT(ISERROR(SEARCH("Error",R111)))</formula>
    </cfRule>
  </conditionalFormatting>
  <conditionalFormatting sqref="N111">
    <cfRule type="expression" dxfId="600" priority="493">
      <formula>ISNUMBER(N111)=FALSE</formula>
    </cfRule>
  </conditionalFormatting>
  <conditionalFormatting sqref="D112:E112">
    <cfRule type="containsBlanks" dxfId="599" priority="492">
      <formula>LEN(TRIM(D112))=0</formula>
    </cfRule>
  </conditionalFormatting>
  <conditionalFormatting sqref="F112:G112 J112">
    <cfRule type="containsBlanks" dxfId="598" priority="487">
      <formula>LEN(TRIM(F112))=0</formula>
    </cfRule>
  </conditionalFormatting>
  <conditionalFormatting sqref="B112:C112">
    <cfRule type="containsBlanks" dxfId="597" priority="488">
      <formula>LEN(TRIM(B112))=0</formula>
    </cfRule>
  </conditionalFormatting>
  <conditionalFormatting sqref="M112">
    <cfRule type="expression" dxfId="596" priority="483">
      <formula>AND(M112=0,L112&lt;&gt;"")</formula>
    </cfRule>
  </conditionalFormatting>
  <conditionalFormatting sqref="L112">
    <cfRule type="expression" dxfId="595" priority="484">
      <formula>AND(L112="",M112&gt;0)</formula>
    </cfRule>
  </conditionalFormatting>
  <conditionalFormatting sqref="L112:M112">
    <cfRule type="cellIs" dxfId="594" priority="485" operator="equal">
      <formula>0</formula>
    </cfRule>
  </conditionalFormatting>
  <conditionalFormatting sqref="R112">
    <cfRule type="containsText" dxfId="593" priority="482" operator="containsText" text="Error">
      <formula>NOT(ISERROR(SEARCH("Error",R112)))</formula>
    </cfRule>
  </conditionalFormatting>
  <conditionalFormatting sqref="N112">
    <cfRule type="expression" dxfId="592" priority="481">
      <formula>ISNUMBER(N112)=FALSE</formula>
    </cfRule>
  </conditionalFormatting>
  <conditionalFormatting sqref="D113:E113">
    <cfRule type="containsBlanks" dxfId="591" priority="480">
      <formula>LEN(TRIM(D113))=0</formula>
    </cfRule>
  </conditionalFormatting>
  <conditionalFormatting sqref="F113:G113 J113">
    <cfRule type="containsBlanks" dxfId="590" priority="475">
      <formula>LEN(TRIM(F113))=0</formula>
    </cfRule>
  </conditionalFormatting>
  <conditionalFormatting sqref="B113:C113">
    <cfRule type="containsBlanks" dxfId="589" priority="476">
      <formula>LEN(TRIM(B113))=0</formula>
    </cfRule>
  </conditionalFormatting>
  <conditionalFormatting sqref="M113">
    <cfRule type="expression" dxfId="588" priority="471">
      <formula>AND(M113=0,L113&lt;&gt;"")</formula>
    </cfRule>
  </conditionalFormatting>
  <conditionalFormatting sqref="L113">
    <cfRule type="expression" dxfId="587" priority="472">
      <formula>AND(L113="",M113&gt;0)</formula>
    </cfRule>
  </conditionalFormatting>
  <conditionalFormatting sqref="L113:M113">
    <cfRule type="cellIs" dxfId="586" priority="473" operator="equal">
      <formula>0</formula>
    </cfRule>
  </conditionalFormatting>
  <conditionalFormatting sqref="R113">
    <cfRule type="containsText" dxfId="585" priority="470" operator="containsText" text="Error">
      <formula>NOT(ISERROR(SEARCH("Error",R113)))</formula>
    </cfRule>
  </conditionalFormatting>
  <conditionalFormatting sqref="N113">
    <cfRule type="expression" dxfId="584" priority="469">
      <formula>ISNUMBER(N113)=FALSE</formula>
    </cfRule>
  </conditionalFormatting>
  <conditionalFormatting sqref="D114:E114">
    <cfRule type="containsBlanks" dxfId="583" priority="468">
      <formula>LEN(TRIM(D114))=0</formula>
    </cfRule>
  </conditionalFormatting>
  <conditionalFormatting sqref="H116">
    <cfRule type="expression" dxfId="582" priority="430">
      <formula>ISNUMBER(H116)=FALSE</formula>
    </cfRule>
  </conditionalFormatting>
  <conditionalFormatting sqref="F114:G114 J114">
    <cfRule type="containsBlanks" dxfId="581" priority="463">
      <formula>LEN(TRIM(F114))=0</formula>
    </cfRule>
  </conditionalFormatting>
  <conditionalFormatting sqref="B114:C114">
    <cfRule type="containsBlanks" dxfId="580" priority="464">
      <formula>LEN(TRIM(B114))=0</formula>
    </cfRule>
  </conditionalFormatting>
  <conditionalFormatting sqref="H117">
    <cfRule type="cellIs" dxfId="579" priority="417" operator="lessThanOrEqual">
      <formula>0</formula>
    </cfRule>
  </conditionalFormatting>
  <conditionalFormatting sqref="M114">
    <cfRule type="expression" dxfId="578" priority="459">
      <formula>AND(M114=0,L114&lt;&gt;"")</formula>
    </cfRule>
  </conditionalFormatting>
  <conditionalFormatting sqref="L114">
    <cfRule type="expression" dxfId="577" priority="460">
      <formula>AND(L114="",M114&gt;0)</formula>
    </cfRule>
  </conditionalFormatting>
  <conditionalFormatting sqref="L114:M114">
    <cfRule type="cellIs" dxfId="576" priority="461" operator="equal">
      <formula>0</formula>
    </cfRule>
  </conditionalFormatting>
  <conditionalFormatting sqref="R114">
    <cfRule type="containsText" dxfId="575" priority="458" operator="containsText" text="Error">
      <formula>NOT(ISERROR(SEARCH("Error",R114)))</formula>
    </cfRule>
  </conditionalFormatting>
  <conditionalFormatting sqref="N114">
    <cfRule type="expression" dxfId="574" priority="457">
      <formula>ISNUMBER(N114)=FALSE</formula>
    </cfRule>
  </conditionalFormatting>
  <conditionalFormatting sqref="D115:E115">
    <cfRule type="containsBlanks" dxfId="573" priority="456">
      <formula>LEN(TRIM(D115))=0</formula>
    </cfRule>
  </conditionalFormatting>
  <conditionalFormatting sqref="F115:K115 I116:I124 K116:K124">
    <cfRule type="containsBlanks" dxfId="572" priority="451">
      <formula>LEN(TRIM(F115))=0</formula>
    </cfRule>
  </conditionalFormatting>
  <conditionalFormatting sqref="B115:C115">
    <cfRule type="containsBlanks" dxfId="571" priority="452">
      <formula>LEN(TRIM(B115))=0</formula>
    </cfRule>
  </conditionalFormatting>
  <conditionalFormatting sqref="M115">
    <cfRule type="expression" dxfId="570" priority="447">
      <formula>AND(M115=0,L115&lt;&gt;"")</formula>
    </cfRule>
  </conditionalFormatting>
  <conditionalFormatting sqref="L115">
    <cfRule type="expression" dxfId="569" priority="448">
      <formula>AND(L115="",M115&gt;0)</formula>
    </cfRule>
  </conditionalFormatting>
  <conditionalFormatting sqref="L115:M115">
    <cfRule type="cellIs" dxfId="568" priority="449" operator="equal">
      <formula>0</formula>
    </cfRule>
  </conditionalFormatting>
  <conditionalFormatting sqref="R115">
    <cfRule type="containsText" dxfId="567" priority="446" operator="containsText" text="Error">
      <formula>NOT(ISERROR(SEARCH("Error",R115)))</formula>
    </cfRule>
  </conditionalFormatting>
  <conditionalFormatting sqref="N115">
    <cfRule type="expression" dxfId="566" priority="445">
      <formula>ISNUMBER(N115)=FALSE</formula>
    </cfRule>
  </conditionalFormatting>
  <conditionalFormatting sqref="H118">
    <cfRule type="cellIs" dxfId="565" priority="405" operator="lessThanOrEqual">
      <formula>0</formula>
    </cfRule>
  </conditionalFormatting>
  <conditionalFormatting sqref="D116:E116">
    <cfRule type="containsBlanks" dxfId="564" priority="432">
      <formula>LEN(TRIM(D116))=0</formula>
    </cfRule>
  </conditionalFormatting>
  <conditionalFormatting sqref="H117">
    <cfRule type="expression" dxfId="563" priority="418">
      <formula>ISNUMBER(H117)=FALSE</formula>
    </cfRule>
  </conditionalFormatting>
  <conditionalFormatting sqref="F116:H116 J116">
    <cfRule type="containsBlanks" dxfId="562" priority="427">
      <formula>LEN(TRIM(F116))=0</formula>
    </cfRule>
  </conditionalFormatting>
  <conditionalFormatting sqref="B116:C116">
    <cfRule type="containsBlanks" dxfId="561" priority="428">
      <formula>LEN(TRIM(B116))=0</formula>
    </cfRule>
  </conditionalFormatting>
  <conditionalFormatting sqref="M116">
    <cfRule type="expression" dxfId="560" priority="423">
      <formula>AND(M116=0,L116&lt;&gt;"")</formula>
    </cfRule>
  </conditionalFormatting>
  <conditionalFormatting sqref="L116">
    <cfRule type="expression" dxfId="559" priority="424">
      <formula>AND(L116="",M116&gt;0)</formula>
    </cfRule>
  </conditionalFormatting>
  <conditionalFormatting sqref="L116:M116">
    <cfRule type="cellIs" dxfId="558" priority="425" operator="equal">
      <formula>0</formula>
    </cfRule>
  </conditionalFormatting>
  <conditionalFormatting sqref="R116">
    <cfRule type="containsText" dxfId="557" priority="422" operator="containsText" text="Error">
      <formula>NOT(ISERROR(SEARCH("Error",R116)))</formula>
    </cfRule>
  </conditionalFormatting>
  <conditionalFormatting sqref="N116">
    <cfRule type="expression" dxfId="556" priority="421">
      <formula>ISNUMBER(N116)=FALSE</formula>
    </cfRule>
  </conditionalFormatting>
  <conditionalFormatting sqref="D117:E117">
    <cfRule type="containsBlanks" dxfId="555" priority="420">
      <formula>LEN(TRIM(D117))=0</formula>
    </cfRule>
  </conditionalFormatting>
  <conditionalFormatting sqref="F117:H117 J117">
    <cfRule type="containsBlanks" dxfId="554" priority="415">
      <formula>LEN(TRIM(F117))=0</formula>
    </cfRule>
  </conditionalFormatting>
  <conditionalFormatting sqref="B117:C117">
    <cfRule type="containsBlanks" dxfId="553" priority="416">
      <formula>LEN(TRIM(B117))=0</formula>
    </cfRule>
  </conditionalFormatting>
  <conditionalFormatting sqref="H119">
    <cfRule type="cellIs" dxfId="552" priority="393" operator="lessThanOrEqual">
      <formula>0</formula>
    </cfRule>
  </conditionalFormatting>
  <conditionalFormatting sqref="M117">
    <cfRule type="expression" dxfId="551" priority="411">
      <formula>AND(M117=0,L117&lt;&gt;"")</formula>
    </cfRule>
  </conditionalFormatting>
  <conditionalFormatting sqref="L117">
    <cfRule type="expression" dxfId="550" priority="412">
      <formula>AND(L117="",M117&gt;0)</formula>
    </cfRule>
  </conditionalFormatting>
  <conditionalFormatting sqref="L117:M117">
    <cfRule type="cellIs" dxfId="549" priority="413" operator="equal">
      <formula>0</formula>
    </cfRule>
  </conditionalFormatting>
  <conditionalFormatting sqref="R117">
    <cfRule type="containsText" dxfId="548" priority="410" operator="containsText" text="Error">
      <formula>NOT(ISERROR(SEARCH("Error",R117)))</formula>
    </cfRule>
  </conditionalFormatting>
  <conditionalFormatting sqref="N117">
    <cfRule type="expression" dxfId="547" priority="409">
      <formula>ISNUMBER(N117)=FALSE</formula>
    </cfRule>
  </conditionalFormatting>
  <conditionalFormatting sqref="D118:E118">
    <cfRule type="containsBlanks" dxfId="546" priority="408">
      <formula>LEN(TRIM(D118))=0</formula>
    </cfRule>
  </conditionalFormatting>
  <conditionalFormatting sqref="H118">
    <cfRule type="expression" dxfId="545" priority="406">
      <formula>ISNUMBER(H118)=FALSE</formula>
    </cfRule>
  </conditionalFormatting>
  <conditionalFormatting sqref="F118:H118 J118">
    <cfRule type="containsBlanks" dxfId="544" priority="403">
      <formula>LEN(TRIM(F118))=0</formula>
    </cfRule>
  </conditionalFormatting>
  <conditionalFormatting sqref="B118:C118">
    <cfRule type="containsBlanks" dxfId="543" priority="404">
      <formula>LEN(TRIM(B118))=0</formula>
    </cfRule>
  </conditionalFormatting>
  <conditionalFormatting sqref="M118">
    <cfRule type="expression" dxfId="542" priority="399">
      <formula>AND(M118=0,L118&lt;&gt;"")</formula>
    </cfRule>
  </conditionalFormatting>
  <conditionalFormatting sqref="L118">
    <cfRule type="expression" dxfId="541" priority="400">
      <formula>AND(L118="",M118&gt;0)</formula>
    </cfRule>
  </conditionalFormatting>
  <conditionalFormatting sqref="L118:M118">
    <cfRule type="cellIs" dxfId="540" priority="401" operator="equal">
      <formula>0</formula>
    </cfRule>
  </conditionalFormatting>
  <conditionalFormatting sqref="R118">
    <cfRule type="containsText" dxfId="539" priority="398" operator="containsText" text="Error">
      <formula>NOT(ISERROR(SEARCH("Error",R118)))</formula>
    </cfRule>
  </conditionalFormatting>
  <conditionalFormatting sqref="N118">
    <cfRule type="expression" dxfId="538" priority="397">
      <formula>ISNUMBER(N118)=FALSE</formula>
    </cfRule>
  </conditionalFormatting>
  <conditionalFormatting sqref="D119:E119">
    <cfRule type="containsBlanks" dxfId="537" priority="396">
      <formula>LEN(TRIM(D119))=0</formula>
    </cfRule>
  </conditionalFormatting>
  <conditionalFormatting sqref="H119">
    <cfRule type="expression" dxfId="536" priority="394">
      <formula>ISNUMBER(H119)=FALSE</formula>
    </cfRule>
  </conditionalFormatting>
  <conditionalFormatting sqref="F119:H119 J119">
    <cfRule type="containsBlanks" dxfId="535" priority="391">
      <formula>LEN(TRIM(F119))=0</formula>
    </cfRule>
  </conditionalFormatting>
  <conditionalFormatting sqref="B119:C119">
    <cfRule type="containsBlanks" dxfId="534" priority="392">
      <formula>LEN(TRIM(B119))=0</formula>
    </cfRule>
  </conditionalFormatting>
  <conditionalFormatting sqref="H120">
    <cfRule type="cellIs" dxfId="533" priority="381" operator="lessThanOrEqual">
      <formula>0</formula>
    </cfRule>
  </conditionalFormatting>
  <conditionalFormatting sqref="M119">
    <cfRule type="expression" dxfId="532" priority="387">
      <formula>AND(M119=0,L119&lt;&gt;"")</formula>
    </cfRule>
  </conditionalFormatting>
  <conditionalFormatting sqref="L119">
    <cfRule type="expression" dxfId="531" priority="388">
      <formula>AND(L119="",M119&gt;0)</formula>
    </cfRule>
  </conditionalFormatting>
  <conditionalFormatting sqref="L119:M119">
    <cfRule type="cellIs" dxfId="530" priority="389" operator="equal">
      <formula>0</formula>
    </cfRule>
  </conditionalFormatting>
  <conditionalFormatting sqref="R119">
    <cfRule type="containsText" dxfId="529" priority="386" operator="containsText" text="Error">
      <formula>NOT(ISERROR(SEARCH("Error",R119)))</formula>
    </cfRule>
  </conditionalFormatting>
  <conditionalFormatting sqref="N119">
    <cfRule type="expression" dxfId="528" priority="385">
      <formula>ISNUMBER(N119)=FALSE</formula>
    </cfRule>
  </conditionalFormatting>
  <conditionalFormatting sqref="D120:E120">
    <cfRule type="containsBlanks" dxfId="527" priority="384">
      <formula>LEN(TRIM(D120))=0</formula>
    </cfRule>
  </conditionalFormatting>
  <conditionalFormatting sqref="H120">
    <cfRule type="expression" dxfId="526" priority="382">
      <formula>ISNUMBER(H120)=FALSE</formula>
    </cfRule>
  </conditionalFormatting>
  <conditionalFormatting sqref="F120:H120 J120">
    <cfRule type="containsBlanks" dxfId="525" priority="379">
      <formula>LEN(TRIM(F120))=0</formula>
    </cfRule>
  </conditionalFormatting>
  <conditionalFormatting sqref="B120:C120">
    <cfRule type="containsBlanks" dxfId="524" priority="380">
      <formula>LEN(TRIM(B120))=0</formula>
    </cfRule>
  </conditionalFormatting>
  <conditionalFormatting sqref="M120">
    <cfRule type="expression" dxfId="523" priority="375">
      <formula>AND(M120=0,L120&lt;&gt;"")</formula>
    </cfRule>
  </conditionalFormatting>
  <conditionalFormatting sqref="L120">
    <cfRule type="expression" dxfId="522" priority="376">
      <formula>AND(L120="",M120&gt;0)</formula>
    </cfRule>
  </conditionalFormatting>
  <conditionalFormatting sqref="L120:M120">
    <cfRule type="cellIs" dxfId="521" priority="377" operator="equal">
      <formula>0</formula>
    </cfRule>
  </conditionalFormatting>
  <conditionalFormatting sqref="R120">
    <cfRule type="containsText" dxfId="520" priority="374" operator="containsText" text="Error">
      <formula>NOT(ISERROR(SEARCH("Error",R120)))</formula>
    </cfRule>
  </conditionalFormatting>
  <conditionalFormatting sqref="N120">
    <cfRule type="expression" dxfId="519" priority="373">
      <formula>ISNUMBER(N120)=FALSE</formula>
    </cfRule>
  </conditionalFormatting>
  <conditionalFormatting sqref="D121:E121">
    <cfRule type="containsBlanks" dxfId="518" priority="372">
      <formula>LEN(TRIM(D121))=0</formula>
    </cfRule>
  </conditionalFormatting>
  <conditionalFormatting sqref="H121">
    <cfRule type="expression" dxfId="517" priority="370">
      <formula>ISNUMBER(H121)=FALSE</formula>
    </cfRule>
  </conditionalFormatting>
  <conditionalFormatting sqref="F121:H121 J121">
    <cfRule type="containsBlanks" dxfId="516" priority="367">
      <formula>LEN(TRIM(F121))=0</formula>
    </cfRule>
  </conditionalFormatting>
  <conditionalFormatting sqref="B121:C121">
    <cfRule type="containsBlanks" dxfId="515" priority="368">
      <formula>LEN(TRIM(B121))=0</formula>
    </cfRule>
  </conditionalFormatting>
  <conditionalFormatting sqref="H121">
    <cfRule type="cellIs" dxfId="514" priority="369" operator="lessThanOrEqual">
      <formula>0</formula>
    </cfRule>
  </conditionalFormatting>
  <conditionalFormatting sqref="M121">
    <cfRule type="expression" dxfId="513" priority="363">
      <formula>AND(M121=0,L121&lt;&gt;"")</formula>
    </cfRule>
  </conditionalFormatting>
  <conditionalFormatting sqref="L121">
    <cfRule type="expression" dxfId="512" priority="364">
      <formula>AND(L121="",M121&gt;0)</formula>
    </cfRule>
  </conditionalFormatting>
  <conditionalFormatting sqref="L121:M121">
    <cfRule type="cellIs" dxfId="511" priority="365" operator="equal">
      <formula>0</formula>
    </cfRule>
  </conditionalFormatting>
  <conditionalFormatting sqref="R121">
    <cfRule type="containsText" dxfId="510" priority="362" operator="containsText" text="Error">
      <formula>NOT(ISERROR(SEARCH("Error",R121)))</formula>
    </cfRule>
  </conditionalFormatting>
  <conditionalFormatting sqref="N121">
    <cfRule type="expression" dxfId="509" priority="361">
      <formula>ISNUMBER(N121)=FALSE</formula>
    </cfRule>
  </conditionalFormatting>
  <conditionalFormatting sqref="D122:E122">
    <cfRule type="containsBlanks" dxfId="508" priority="360">
      <formula>LEN(TRIM(D122))=0</formula>
    </cfRule>
  </conditionalFormatting>
  <conditionalFormatting sqref="H122">
    <cfRule type="expression" dxfId="507" priority="358">
      <formula>ISNUMBER(H122)=FALSE</formula>
    </cfRule>
  </conditionalFormatting>
  <conditionalFormatting sqref="F122:H122 J122">
    <cfRule type="containsBlanks" dxfId="506" priority="355">
      <formula>LEN(TRIM(F122))=0</formula>
    </cfRule>
  </conditionalFormatting>
  <conditionalFormatting sqref="B122:C122">
    <cfRule type="containsBlanks" dxfId="505" priority="356">
      <formula>LEN(TRIM(B122))=0</formula>
    </cfRule>
  </conditionalFormatting>
  <conditionalFormatting sqref="H122">
    <cfRule type="cellIs" dxfId="504" priority="357" operator="lessThanOrEqual">
      <formula>0</formula>
    </cfRule>
  </conditionalFormatting>
  <conditionalFormatting sqref="M122">
    <cfRule type="expression" dxfId="503" priority="351">
      <formula>AND(M122=0,L122&lt;&gt;"")</formula>
    </cfRule>
  </conditionalFormatting>
  <conditionalFormatting sqref="L122">
    <cfRule type="expression" dxfId="502" priority="352">
      <formula>AND(L122="",M122&gt;0)</formula>
    </cfRule>
  </conditionalFormatting>
  <conditionalFormatting sqref="L122:M122">
    <cfRule type="cellIs" dxfId="501" priority="353" operator="equal">
      <formula>0</formula>
    </cfRule>
  </conditionalFormatting>
  <conditionalFormatting sqref="R122">
    <cfRule type="containsText" dxfId="500" priority="350" operator="containsText" text="Error">
      <formula>NOT(ISERROR(SEARCH("Error",R122)))</formula>
    </cfRule>
  </conditionalFormatting>
  <conditionalFormatting sqref="N122">
    <cfRule type="expression" dxfId="499" priority="349">
      <formula>ISNUMBER(N122)=FALSE</formula>
    </cfRule>
  </conditionalFormatting>
  <conditionalFormatting sqref="D123:E123">
    <cfRule type="containsBlanks" dxfId="498" priority="348">
      <formula>LEN(TRIM(D123))=0</formula>
    </cfRule>
  </conditionalFormatting>
  <conditionalFormatting sqref="H123">
    <cfRule type="expression" dxfId="497" priority="346">
      <formula>ISNUMBER(H123)=FALSE</formula>
    </cfRule>
  </conditionalFormatting>
  <conditionalFormatting sqref="F123:H123 J123">
    <cfRule type="containsBlanks" dxfId="496" priority="343">
      <formula>LEN(TRIM(F123))=0</formula>
    </cfRule>
  </conditionalFormatting>
  <conditionalFormatting sqref="B123:C123">
    <cfRule type="containsBlanks" dxfId="495" priority="344">
      <formula>LEN(TRIM(B123))=0</formula>
    </cfRule>
  </conditionalFormatting>
  <conditionalFormatting sqref="H123">
    <cfRule type="cellIs" dxfId="494" priority="345" operator="lessThanOrEqual">
      <formula>0</formula>
    </cfRule>
  </conditionalFormatting>
  <conditionalFormatting sqref="M123">
    <cfRule type="expression" dxfId="493" priority="339">
      <formula>AND(M123=0,L123&lt;&gt;"")</formula>
    </cfRule>
  </conditionalFormatting>
  <conditionalFormatting sqref="L123">
    <cfRule type="expression" dxfId="492" priority="340">
      <formula>AND(L123="",M123&gt;0)</formula>
    </cfRule>
  </conditionalFormatting>
  <conditionalFormatting sqref="L123:M123">
    <cfRule type="cellIs" dxfId="491" priority="341" operator="equal">
      <formula>0</formula>
    </cfRule>
  </conditionalFormatting>
  <conditionalFormatting sqref="R123">
    <cfRule type="containsText" dxfId="490" priority="338" operator="containsText" text="Error">
      <formula>NOT(ISERROR(SEARCH("Error",R123)))</formula>
    </cfRule>
  </conditionalFormatting>
  <conditionalFormatting sqref="N123">
    <cfRule type="expression" dxfId="489" priority="337">
      <formula>ISNUMBER(N123)=FALSE</formula>
    </cfRule>
  </conditionalFormatting>
  <conditionalFormatting sqref="D105:E105">
    <cfRule type="containsBlanks" dxfId="488" priority="336">
      <formula>LEN(TRIM(D105))=0</formula>
    </cfRule>
  </conditionalFormatting>
  <conditionalFormatting sqref="H105 K105:K114">
    <cfRule type="expression" dxfId="487" priority="334">
      <formula>ISNUMBER(H105)=FALSE</formula>
    </cfRule>
  </conditionalFormatting>
  <conditionalFormatting sqref="F105:K105 K106:K114">
    <cfRule type="containsBlanks" dxfId="486" priority="331">
      <formula>LEN(TRIM(F105))=0</formula>
    </cfRule>
  </conditionalFormatting>
  <conditionalFormatting sqref="B105:C105">
    <cfRule type="containsBlanks" dxfId="485" priority="332">
      <formula>LEN(TRIM(B105))=0</formula>
    </cfRule>
  </conditionalFormatting>
  <conditionalFormatting sqref="K105:K114">
    <cfRule type="cellIs" dxfId="484" priority="330" operator="lessThan">
      <formula>0</formula>
    </cfRule>
    <cfRule type="cellIs" dxfId="483" priority="335" operator="equal">
      <formula>0</formula>
    </cfRule>
  </conditionalFormatting>
  <conditionalFormatting sqref="H105">
    <cfRule type="cellIs" dxfId="482" priority="333" operator="lessThanOrEqual">
      <formula>0</formula>
    </cfRule>
  </conditionalFormatting>
  <conditionalFormatting sqref="M105">
    <cfRule type="expression" dxfId="481" priority="327">
      <formula>AND(M105=0,L105&lt;&gt;"")</formula>
    </cfRule>
  </conditionalFormatting>
  <conditionalFormatting sqref="L105">
    <cfRule type="expression" dxfId="480" priority="328">
      <formula>AND(L105="",M105&gt;0)</formula>
    </cfRule>
  </conditionalFormatting>
  <conditionalFormatting sqref="L105:M105">
    <cfRule type="cellIs" dxfId="479" priority="329" operator="equal">
      <formula>0</formula>
    </cfRule>
  </conditionalFormatting>
  <conditionalFormatting sqref="R105">
    <cfRule type="containsText" dxfId="478" priority="326" operator="containsText" text="Error">
      <formula>NOT(ISERROR(SEARCH("Error",R105)))</formula>
    </cfRule>
  </conditionalFormatting>
  <conditionalFormatting sqref="N105">
    <cfRule type="expression" dxfId="477" priority="325">
      <formula>ISNUMBER(N105)=FALSE</formula>
    </cfRule>
  </conditionalFormatting>
  <conditionalFormatting sqref="D124:E124">
    <cfRule type="containsBlanks" dxfId="476" priority="324">
      <formula>LEN(TRIM(D124))=0</formula>
    </cfRule>
  </conditionalFormatting>
  <conditionalFormatting sqref="H124">
    <cfRule type="expression" dxfId="475" priority="322">
      <formula>ISNUMBER(H124)=FALSE</formula>
    </cfRule>
  </conditionalFormatting>
  <conditionalFormatting sqref="F124:H124 J124">
    <cfRule type="containsBlanks" dxfId="474" priority="319">
      <formula>LEN(TRIM(F124))=0</formula>
    </cfRule>
  </conditionalFormatting>
  <conditionalFormatting sqref="B124:C124">
    <cfRule type="containsBlanks" dxfId="473" priority="320">
      <formula>LEN(TRIM(B124))=0</formula>
    </cfRule>
  </conditionalFormatting>
  <conditionalFormatting sqref="H124">
    <cfRule type="cellIs" dxfId="472" priority="321" operator="lessThanOrEqual">
      <formula>0</formula>
    </cfRule>
  </conditionalFormatting>
  <conditionalFormatting sqref="M124">
    <cfRule type="expression" dxfId="471" priority="315">
      <formula>AND(M124=0,L124&lt;&gt;"")</formula>
    </cfRule>
  </conditionalFormatting>
  <conditionalFormatting sqref="L124">
    <cfRule type="expression" dxfId="470" priority="316">
      <formula>AND(L124="",M124&gt;0)</formula>
    </cfRule>
  </conditionalFormatting>
  <conditionalFormatting sqref="L124:M124">
    <cfRule type="cellIs" dxfId="469" priority="317" operator="equal">
      <formula>0</formula>
    </cfRule>
  </conditionalFormatting>
  <conditionalFormatting sqref="R124">
    <cfRule type="containsText" dxfId="468" priority="314" operator="containsText" text="Error">
      <formula>NOT(ISERROR(SEARCH("Error",R124)))</formula>
    </cfRule>
  </conditionalFormatting>
  <conditionalFormatting sqref="N124">
    <cfRule type="expression" dxfId="467" priority="313">
      <formula>ISNUMBER(N124)=FALSE</formula>
    </cfRule>
  </conditionalFormatting>
  <conditionalFormatting sqref="D126:E126">
    <cfRule type="containsBlanks" dxfId="466" priority="312">
      <formula>LEN(TRIM(D126))=0</formula>
    </cfRule>
  </conditionalFormatting>
  <conditionalFormatting sqref="F126:G126 J126">
    <cfRule type="containsBlanks" dxfId="465" priority="307">
      <formula>LEN(TRIM(F126))=0</formula>
    </cfRule>
  </conditionalFormatting>
  <conditionalFormatting sqref="B126:C126">
    <cfRule type="containsBlanks" dxfId="464" priority="308">
      <formula>LEN(TRIM(B126))=0</formula>
    </cfRule>
  </conditionalFormatting>
  <conditionalFormatting sqref="M126">
    <cfRule type="expression" dxfId="463" priority="303">
      <formula>AND(M126=0,L126&lt;&gt;"")</formula>
    </cfRule>
  </conditionalFormatting>
  <conditionalFormatting sqref="L126">
    <cfRule type="expression" dxfId="462" priority="304">
      <formula>AND(L126="",M126&gt;0)</formula>
    </cfRule>
  </conditionalFormatting>
  <conditionalFormatting sqref="L126:M126">
    <cfRule type="cellIs" dxfId="461" priority="305" operator="equal">
      <formula>0</formula>
    </cfRule>
  </conditionalFormatting>
  <conditionalFormatting sqref="R126">
    <cfRule type="containsText" dxfId="460" priority="302" operator="containsText" text="Error">
      <formula>NOT(ISERROR(SEARCH("Error",R126)))</formula>
    </cfRule>
  </conditionalFormatting>
  <conditionalFormatting sqref="N126">
    <cfRule type="expression" dxfId="459" priority="301">
      <formula>ISNUMBER(N126)=FALSE</formula>
    </cfRule>
  </conditionalFormatting>
  <conditionalFormatting sqref="D140:E140">
    <cfRule type="containsBlanks" dxfId="458" priority="300">
      <formula>LEN(TRIM(D140))=0</formula>
    </cfRule>
  </conditionalFormatting>
  <conditionalFormatting sqref="F140:G140 J140">
    <cfRule type="containsBlanks" dxfId="457" priority="295">
      <formula>LEN(TRIM(F140))=0</formula>
    </cfRule>
  </conditionalFormatting>
  <conditionalFormatting sqref="B140:C140">
    <cfRule type="containsBlanks" dxfId="456" priority="296">
      <formula>LEN(TRIM(B140))=0</formula>
    </cfRule>
  </conditionalFormatting>
  <conditionalFormatting sqref="M140">
    <cfRule type="expression" dxfId="455" priority="291">
      <formula>AND(M140=0,L140&lt;&gt;"")</formula>
    </cfRule>
  </conditionalFormatting>
  <conditionalFormatting sqref="L140">
    <cfRule type="expression" dxfId="454" priority="292">
      <formula>AND(L140="",M140&gt;0)</formula>
    </cfRule>
  </conditionalFormatting>
  <conditionalFormatting sqref="L140:M140">
    <cfRule type="cellIs" dxfId="453" priority="293" operator="equal">
      <formula>0</formula>
    </cfRule>
  </conditionalFormatting>
  <conditionalFormatting sqref="R140">
    <cfRule type="containsText" dxfId="452" priority="290" operator="containsText" text="Error">
      <formula>NOT(ISERROR(SEARCH("Error",R140)))</formula>
    </cfRule>
  </conditionalFormatting>
  <conditionalFormatting sqref="N140">
    <cfRule type="expression" dxfId="451" priority="289">
      <formula>ISNUMBER(N140)=FALSE</formula>
    </cfRule>
  </conditionalFormatting>
  <conditionalFormatting sqref="D127:E127">
    <cfRule type="containsBlanks" dxfId="450" priority="276">
      <formula>LEN(TRIM(D127))=0</formula>
    </cfRule>
  </conditionalFormatting>
  <conditionalFormatting sqref="F127:G127 J127">
    <cfRule type="containsBlanks" dxfId="449" priority="271">
      <formula>LEN(TRIM(F127))=0</formula>
    </cfRule>
  </conditionalFormatting>
  <conditionalFormatting sqref="B127:C127">
    <cfRule type="containsBlanks" dxfId="448" priority="272">
      <formula>LEN(TRIM(B127))=0</formula>
    </cfRule>
  </conditionalFormatting>
  <conditionalFormatting sqref="M127">
    <cfRule type="expression" dxfId="447" priority="267">
      <formula>AND(M127=0,L127&lt;&gt;"")</formula>
    </cfRule>
  </conditionalFormatting>
  <conditionalFormatting sqref="L127">
    <cfRule type="expression" dxfId="446" priority="268">
      <formula>AND(L127="",M127&gt;0)</formula>
    </cfRule>
  </conditionalFormatting>
  <conditionalFormatting sqref="L127:M127">
    <cfRule type="cellIs" dxfId="445" priority="269" operator="equal">
      <formula>0</formula>
    </cfRule>
  </conditionalFormatting>
  <conditionalFormatting sqref="R127">
    <cfRule type="containsText" dxfId="444" priority="266" operator="containsText" text="Error">
      <formula>NOT(ISERROR(SEARCH("Error",R127)))</formula>
    </cfRule>
  </conditionalFormatting>
  <conditionalFormatting sqref="N127">
    <cfRule type="expression" dxfId="443" priority="265">
      <formula>ISNUMBER(N127)=FALSE</formula>
    </cfRule>
  </conditionalFormatting>
  <conditionalFormatting sqref="D128:E128">
    <cfRule type="containsBlanks" dxfId="442" priority="264">
      <formula>LEN(TRIM(D128))=0</formula>
    </cfRule>
  </conditionalFormatting>
  <conditionalFormatting sqref="K135:K144 H135:H144">
    <cfRule type="expression" dxfId="441" priority="166">
      <formula>ISNUMBER(H135)=FALSE</formula>
    </cfRule>
  </conditionalFormatting>
  <conditionalFormatting sqref="F128:G128 J128">
    <cfRule type="containsBlanks" dxfId="440" priority="259">
      <formula>LEN(TRIM(F128))=0</formula>
    </cfRule>
  </conditionalFormatting>
  <conditionalFormatting sqref="B128:C128">
    <cfRule type="containsBlanks" dxfId="439" priority="260">
      <formula>LEN(TRIM(B128))=0</formula>
    </cfRule>
  </conditionalFormatting>
  <conditionalFormatting sqref="K135:K144">
    <cfRule type="cellIs" dxfId="438" priority="162" operator="lessThan">
      <formula>0</formula>
    </cfRule>
    <cfRule type="cellIs" dxfId="437" priority="167" operator="equal">
      <formula>0</formula>
    </cfRule>
  </conditionalFormatting>
  <conditionalFormatting sqref="H135:H144">
    <cfRule type="cellIs" dxfId="436" priority="165" operator="lessThanOrEqual">
      <formula>0</formula>
    </cfRule>
  </conditionalFormatting>
  <conditionalFormatting sqref="M128">
    <cfRule type="expression" dxfId="435" priority="255">
      <formula>AND(M128=0,L128&lt;&gt;"")</formula>
    </cfRule>
  </conditionalFormatting>
  <conditionalFormatting sqref="L128">
    <cfRule type="expression" dxfId="434" priority="256">
      <formula>AND(L128="",M128&gt;0)</formula>
    </cfRule>
  </conditionalFormatting>
  <conditionalFormatting sqref="L128:M128">
    <cfRule type="cellIs" dxfId="433" priority="257" operator="equal">
      <formula>0</formula>
    </cfRule>
  </conditionalFormatting>
  <conditionalFormatting sqref="R128">
    <cfRule type="containsText" dxfId="432" priority="254" operator="containsText" text="Error">
      <formula>NOT(ISERROR(SEARCH("Error",R128)))</formula>
    </cfRule>
  </conditionalFormatting>
  <conditionalFormatting sqref="N128">
    <cfRule type="expression" dxfId="431" priority="253">
      <formula>ISNUMBER(N128)=FALSE</formula>
    </cfRule>
  </conditionalFormatting>
  <conditionalFormatting sqref="D129:E129">
    <cfRule type="containsBlanks" dxfId="430" priority="252">
      <formula>LEN(TRIM(D129))=0</formula>
    </cfRule>
  </conditionalFormatting>
  <conditionalFormatting sqref="F129:G129 J129">
    <cfRule type="containsBlanks" dxfId="429" priority="247">
      <formula>LEN(TRIM(F129))=0</formula>
    </cfRule>
  </conditionalFormatting>
  <conditionalFormatting sqref="B129:C129">
    <cfRule type="containsBlanks" dxfId="428" priority="248">
      <formula>LEN(TRIM(B129))=0</formula>
    </cfRule>
  </conditionalFormatting>
  <conditionalFormatting sqref="M129">
    <cfRule type="expression" dxfId="427" priority="243">
      <formula>AND(M129=0,L129&lt;&gt;"")</formula>
    </cfRule>
  </conditionalFormatting>
  <conditionalFormatting sqref="L129">
    <cfRule type="expression" dxfId="426" priority="244">
      <formula>AND(L129="",M129&gt;0)</formula>
    </cfRule>
  </conditionalFormatting>
  <conditionalFormatting sqref="L129:M129">
    <cfRule type="cellIs" dxfId="425" priority="245" operator="equal">
      <formula>0</formula>
    </cfRule>
  </conditionalFormatting>
  <conditionalFormatting sqref="R129">
    <cfRule type="containsText" dxfId="424" priority="242" operator="containsText" text="Error">
      <formula>NOT(ISERROR(SEARCH("Error",R129)))</formula>
    </cfRule>
  </conditionalFormatting>
  <conditionalFormatting sqref="N129">
    <cfRule type="expression" dxfId="423" priority="241">
      <formula>ISNUMBER(N129)=FALSE</formula>
    </cfRule>
  </conditionalFormatting>
  <conditionalFormatting sqref="D130:E130">
    <cfRule type="containsBlanks" dxfId="422" priority="240">
      <formula>LEN(TRIM(D130))=0</formula>
    </cfRule>
  </conditionalFormatting>
  <conditionalFormatting sqref="F130:G130 J130">
    <cfRule type="containsBlanks" dxfId="421" priority="235">
      <formula>LEN(TRIM(F130))=0</formula>
    </cfRule>
  </conditionalFormatting>
  <conditionalFormatting sqref="B130:C130">
    <cfRule type="containsBlanks" dxfId="420" priority="236">
      <formula>LEN(TRIM(B130))=0</formula>
    </cfRule>
  </conditionalFormatting>
  <conditionalFormatting sqref="M130">
    <cfRule type="expression" dxfId="419" priority="231">
      <formula>AND(M130=0,L130&lt;&gt;"")</formula>
    </cfRule>
  </conditionalFormatting>
  <conditionalFormatting sqref="L130">
    <cfRule type="expression" dxfId="418" priority="232">
      <formula>AND(L130="",M130&gt;0)</formula>
    </cfRule>
  </conditionalFormatting>
  <conditionalFormatting sqref="L130:M130">
    <cfRule type="cellIs" dxfId="417" priority="233" operator="equal">
      <formula>0</formula>
    </cfRule>
  </conditionalFormatting>
  <conditionalFormatting sqref="R130">
    <cfRule type="containsText" dxfId="416" priority="230" operator="containsText" text="Error">
      <formula>NOT(ISERROR(SEARCH("Error",R130)))</formula>
    </cfRule>
  </conditionalFormatting>
  <conditionalFormatting sqref="N130">
    <cfRule type="expression" dxfId="415" priority="229">
      <formula>ISNUMBER(N130)=FALSE</formula>
    </cfRule>
  </conditionalFormatting>
  <conditionalFormatting sqref="D131:E131">
    <cfRule type="containsBlanks" dxfId="414" priority="228">
      <formula>LEN(TRIM(D131))=0</formula>
    </cfRule>
  </conditionalFormatting>
  <conditionalFormatting sqref="F131:G131 J131">
    <cfRule type="containsBlanks" dxfId="413" priority="223">
      <formula>LEN(TRIM(F131))=0</formula>
    </cfRule>
  </conditionalFormatting>
  <conditionalFormatting sqref="B131:C131">
    <cfRule type="containsBlanks" dxfId="412" priority="224">
      <formula>LEN(TRIM(B131))=0</formula>
    </cfRule>
  </conditionalFormatting>
  <conditionalFormatting sqref="M131">
    <cfRule type="expression" dxfId="411" priority="219">
      <formula>AND(M131=0,L131&lt;&gt;"")</formula>
    </cfRule>
  </conditionalFormatting>
  <conditionalFormatting sqref="L131">
    <cfRule type="expression" dxfId="410" priority="220">
      <formula>AND(L131="",M131&gt;0)</formula>
    </cfRule>
  </conditionalFormatting>
  <conditionalFormatting sqref="L131:M131">
    <cfRule type="cellIs" dxfId="409" priority="221" operator="equal">
      <formula>0</formula>
    </cfRule>
  </conditionalFormatting>
  <conditionalFormatting sqref="R131">
    <cfRule type="containsText" dxfId="408" priority="218" operator="containsText" text="Error">
      <formula>NOT(ISERROR(SEARCH("Error",R131)))</formula>
    </cfRule>
  </conditionalFormatting>
  <conditionalFormatting sqref="N131">
    <cfRule type="expression" dxfId="407" priority="217">
      <formula>ISNUMBER(N131)=FALSE</formula>
    </cfRule>
  </conditionalFormatting>
  <conditionalFormatting sqref="D132:E132">
    <cfRule type="containsBlanks" dxfId="406" priority="204">
      <formula>LEN(TRIM(D132))=0</formula>
    </cfRule>
  </conditionalFormatting>
  <conditionalFormatting sqref="F132:G132 J132">
    <cfRule type="containsBlanks" dxfId="405" priority="199">
      <formula>LEN(TRIM(F132))=0</formula>
    </cfRule>
  </conditionalFormatting>
  <conditionalFormatting sqref="B132:C132">
    <cfRule type="containsBlanks" dxfId="404" priority="200">
      <formula>LEN(TRIM(B132))=0</formula>
    </cfRule>
  </conditionalFormatting>
  <conditionalFormatting sqref="M132">
    <cfRule type="expression" dxfId="403" priority="195">
      <formula>AND(M132=0,L132&lt;&gt;"")</formula>
    </cfRule>
  </conditionalFormatting>
  <conditionalFormatting sqref="L132">
    <cfRule type="expression" dxfId="402" priority="196">
      <formula>AND(L132="",M132&gt;0)</formula>
    </cfRule>
  </conditionalFormatting>
  <conditionalFormatting sqref="L132:M132">
    <cfRule type="cellIs" dxfId="401" priority="197" operator="equal">
      <formula>0</formula>
    </cfRule>
  </conditionalFormatting>
  <conditionalFormatting sqref="R132">
    <cfRule type="containsText" dxfId="400" priority="194" operator="containsText" text="Error">
      <formula>NOT(ISERROR(SEARCH("Error",R132)))</formula>
    </cfRule>
  </conditionalFormatting>
  <conditionalFormatting sqref="N132">
    <cfRule type="expression" dxfId="399" priority="193">
      <formula>ISNUMBER(N132)=FALSE</formula>
    </cfRule>
  </conditionalFormatting>
  <conditionalFormatting sqref="D133:E133">
    <cfRule type="containsBlanks" dxfId="398" priority="192">
      <formula>LEN(TRIM(D133))=0</formula>
    </cfRule>
  </conditionalFormatting>
  <conditionalFormatting sqref="F133:G133 J133">
    <cfRule type="containsBlanks" dxfId="397" priority="187">
      <formula>LEN(TRIM(F133))=0</formula>
    </cfRule>
  </conditionalFormatting>
  <conditionalFormatting sqref="B133:C133">
    <cfRule type="containsBlanks" dxfId="396" priority="188">
      <formula>LEN(TRIM(B133))=0</formula>
    </cfRule>
  </conditionalFormatting>
  <conditionalFormatting sqref="M133">
    <cfRule type="expression" dxfId="395" priority="183">
      <formula>AND(M133=0,L133&lt;&gt;"")</formula>
    </cfRule>
  </conditionalFormatting>
  <conditionalFormatting sqref="L133">
    <cfRule type="expression" dxfId="394" priority="184">
      <formula>AND(L133="",M133&gt;0)</formula>
    </cfRule>
  </conditionalFormatting>
  <conditionalFormatting sqref="L133:M133">
    <cfRule type="cellIs" dxfId="393" priority="185" operator="equal">
      <formula>0</formula>
    </cfRule>
  </conditionalFormatting>
  <conditionalFormatting sqref="R133">
    <cfRule type="containsText" dxfId="392" priority="182" operator="containsText" text="Error">
      <formula>NOT(ISERROR(SEARCH("Error",R133)))</formula>
    </cfRule>
  </conditionalFormatting>
  <conditionalFormatting sqref="N133">
    <cfRule type="expression" dxfId="391" priority="181">
      <formula>ISNUMBER(N133)=FALSE</formula>
    </cfRule>
  </conditionalFormatting>
  <conditionalFormatting sqref="D134:E134">
    <cfRule type="containsBlanks" dxfId="390" priority="180">
      <formula>LEN(TRIM(D134))=0</formula>
    </cfRule>
  </conditionalFormatting>
  <conditionalFormatting sqref="F134:G134 J134">
    <cfRule type="containsBlanks" dxfId="389" priority="175">
      <formula>LEN(TRIM(F134))=0</formula>
    </cfRule>
  </conditionalFormatting>
  <conditionalFormatting sqref="B134:C134">
    <cfRule type="containsBlanks" dxfId="388" priority="176">
      <formula>LEN(TRIM(B134))=0</formula>
    </cfRule>
  </conditionalFormatting>
  <conditionalFormatting sqref="M134">
    <cfRule type="expression" dxfId="387" priority="171">
      <formula>AND(M134=0,L134&lt;&gt;"")</formula>
    </cfRule>
  </conditionalFormatting>
  <conditionalFormatting sqref="L134">
    <cfRule type="expression" dxfId="386" priority="172">
      <formula>AND(L134="",M134&gt;0)</formula>
    </cfRule>
  </conditionalFormatting>
  <conditionalFormatting sqref="L134:M134">
    <cfRule type="cellIs" dxfId="385" priority="173" operator="equal">
      <formula>0</formula>
    </cfRule>
  </conditionalFormatting>
  <conditionalFormatting sqref="R134">
    <cfRule type="containsText" dxfId="384" priority="170" operator="containsText" text="Error">
      <formula>NOT(ISERROR(SEARCH("Error",R134)))</formula>
    </cfRule>
  </conditionalFormatting>
  <conditionalFormatting sqref="N134">
    <cfRule type="expression" dxfId="383" priority="169">
      <formula>ISNUMBER(N134)=FALSE</formula>
    </cfRule>
  </conditionalFormatting>
  <conditionalFormatting sqref="D135:E135">
    <cfRule type="containsBlanks" dxfId="382" priority="168">
      <formula>LEN(TRIM(D135))=0</formula>
    </cfRule>
  </conditionalFormatting>
  <conditionalFormatting sqref="F135:K135 K136:K144 H136:I144">
    <cfRule type="containsBlanks" dxfId="381" priority="163">
      <formula>LEN(TRIM(F135))=0</formula>
    </cfRule>
  </conditionalFormatting>
  <conditionalFormatting sqref="B135:C135">
    <cfRule type="containsBlanks" dxfId="380" priority="164">
      <formula>LEN(TRIM(B135))=0</formula>
    </cfRule>
  </conditionalFormatting>
  <conditionalFormatting sqref="M135">
    <cfRule type="expression" dxfId="379" priority="159">
      <formula>AND(M135=0,L135&lt;&gt;"")</formula>
    </cfRule>
  </conditionalFormatting>
  <conditionalFormatting sqref="L135">
    <cfRule type="expression" dxfId="378" priority="160">
      <formula>AND(L135="",M135&gt;0)</formula>
    </cfRule>
  </conditionalFormatting>
  <conditionalFormatting sqref="L135:M135">
    <cfRule type="cellIs" dxfId="377" priority="161" operator="equal">
      <formula>0</formula>
    </cfRule>
  </conditionalFormatting>
  <conditionalFormatting sqref="R135">
    <cfRule type="containsText" dxfId="376" priority="158" operator="containsText" text="Error">
      <formula>NOT(ISERROR(SEARCH("Error",R135)))</formula>
    </cfRule>
  </conditionalFormatting>
  <conditionalFormatting sqref="N135">
    <cfRule type="expression" dxfId="375" priority="157">
      <formula>ISNUMBER(N135)=FALSE</formula>
    </cfRule>
  </conditionalFormatting>
  <conditionalFormatting sqref="D136:E136">
    <cfRule type="containsBlanks" dxfId="374" priority="156">
      <formula>LEN(TRIM(D136))=0</formula>
    </cfRule>
  </conditionalFormatting>
  <conditionalFormatting sqref="F136:G136 J136">
    <cfRule type="containsBlanks" dxfId="373" priority="151">
      <formula>LEN(TRIM(F136))=0</formula>
    </cfRule>
  </conditionalFormatting>
  <conditionalFormatting sqref="B136:C136">
    <cfRule type="containsBlanks" dxfId="372" priority="152">
      <formula>LEN(TRIM(B136))=0</formula>
    </cfRule>
  </conditionalFormatting>
  <conditionalFormatting sqref="M136">
    <cfRule type="expression" dxfId="371" priority="147">
      <formula>AND(M136=0,L136&lt;&gt;"")</formula>
    </cfRule>
  </conditionalFormatting>
  <conditionalFormatting sqref="L136">
    <cfRule type="expression" dxfId="370" priority="148">
      <formula>AND(L136="",M136&gt;0)</formula>
    </cfRule>
  </conditionalFormatting>
  <conditionalFormatting sqref="L136:M136">
    <cfRule type="cellIs" dxfId="369" priority="149" operator="equal">
      <formula>0</formula>
    </cfRule>
  </conditionalFormatting>
  <conditionalFormatting sqref="R136">
    <cfRule type="containsText" dxfId="368" priority="146" operator="containsText" text="Error">
      <formula>NOT(ISERROR(SEARCH("Error",R136)))</formula>
    </cfRule>
  </conditionalFormatting>
  <conditionalFormatting sqref="N136">
    <cfRule type="expression" dxfId="367" priority="145">
      <formula>ISNUMBER(N136)=FALSE</formula>
    </cfRule>
  </conditionalFormatting>
  <conditionalFormatting sqref="D137:E137">
    <cfRule type="containsBlanks" dxfId="366" priority="144">
      <formula>LEN(TRIM(D137))=0</formula>
    </cfRule>
  </conditionalFormatting>
  <conditionalFormatting sqref="H125:H134 K125:K134">
    <cfRule type="expression" dxfId="365" priority="106">
      <formula>ISNUMBER(H125)=FALSE</formula>
    </cfRule>
  </conditionalFormatting>
  <conditionalFormatting sqref="F137:G137 J137">
    <cfRule type="containsBlanks" dxfId="364" priority="139">
      <formula>LEN(TRIM(F137))=0</formula>
    </cfRule>
  </conditionalFormatting>
  <conditionalFormatting sqref="B137:C137">
    <cfRule type="containsBlanks" dxfId="363" priority="140">
      <formula>LEN(TRIM(B137))=0</formula>
    </cfRule>
  </conditionalFormatting>
  <conditionalFormatting sqref="K125:K134">
    <cfRule type="cellIs" dxfId="362" priority="102" operator="lessThan">
      <formula>0</formula>
    </cfRule>
    <cfRule type="cellIs" dxfId="361" priority="107" operator="equal">
      <formula>0</formula>
    </cfRule>
  </conditionalFormatting>
  <conditionalFormatting sqref="H125:H134">
    <cfRule type="cellIs" dxfId="360" priority="105" operator="lessThanOrEqual">
      <formula>0</formula>
    </cfRule>
  </conditionalFormatting>
  <conditionalFormatting sqref="M137">
    <cfRule type="expression" dxfId="359" priority="135">
      <formula>AND(M137=0,L137&lt;&gt;"")</formula>
    </cfRule>
  </conditionalFormatting>
  <conditionalFormatting sqref="L137">
    <cfRule type="expression" dxfId="358" priority="136">
      <formula>AND(L137="",M137&gt;0)</formula>
    </cfRule>
  </conditionalFormatting>
  <conditionalFormatting sqref="L137:M137">
    <cfRule type="cellIs" dxfId="357" priority="137" operator="equal">
      <formula>0</formula>
    </cfRule>
  </conditionalFormatting>
  <conditionalFormatting sqref="R137">
    <cfRule type="containsText" dxfId="356" priority="134" operator="containsText" text="Error">
      <formula>NOT(ISERROR(SEARCH("Error",R137)))</formula>
    </cfRule>
  </conditionalFormatting>
  <conditionalFormatting sqref="N137">
    <cfRule type="expression" dxfId="355" priority="133">
      <formula>ISNUMBER(N137)=FALSE</formula>
    </cfRule>
  </conditionalFormatting>
  <conditionalFormatting sqref="D138:E138">
    <cfRule type="containsBlanks" dxfId="354" priority="132">
      <formula>LEN(TRIM(D138))=0</formula>
    </cfRule>
  </conditionalFormatting>
  <conditionalFormatting sqref="F138:G138 J138">
    <cfRule type="containsBlanks" dxfId="353" priority="127">
      <formula>LEN(TRIM(F138))=0</formula>
    </cfRule>
  </conditionalFormatting>
  <conditionalFormatting sqref="B138:C138">
    <cfRule type="containsBlanks" dxfId="352" priority="128">
      <formula>LEN(TRIM(B138))=0</formula>
    </cfRule>
  </conditionalFormatting>
  <conditionalFormatting sqref="M138">
    <cfRule type="expression" dxfId="351" priority="123">
      <formula>AND(M138=0,L138&lt;&gt;"")</formula>
    </cfRule>
  </conditionalFormatting>
  <conditionalFormatting sqref="L138">
    <cfRule type="expression" dxfId="350" priority="124">
      <formula>AND(L138="",M138&gt;0)</formula>
    </cfRule>
  </conditionalFormatting>
  <conditionalFormatting sqref="L138:M138">
    <cfRule type="cellIs" dxfId="349" priority="125" operator="equal">
      <formula>0</formula>
    </cfRule>
  </conditionalFormatting>
  <conditionalFormatting sqref="R138">
    <cfRule type="containsText" dxfId="348" priority="122" operator="containsText" text="Error">
      <formula>NOT(ISERROR(SEARCH("Error",R138)))</formula>
    </cfRule>
  </conditionalFormatting>
  <conditionalFormatting sqref="N138">
    <cfRule type="expression" dxfId="347" priority="121">
      <formula>ISNUMBER(N138)=FALSE</formula>
    </cfRule>
  </conditionalFormatting>
  <conditionalFormatting sqref="D139:E139">
    <cfRule type="containsBlanks" dxfId="346" priority="120">
      <formula>LEN(TRIM(D139))=0</formula>
    </cfRule>
  </conditionalFormatting>
  <conditionalFormatting sqref="F139:G139 J139">
    <cfRule type="containsBlanks" dxfId="345" priority="115">
      <formula>LEN(TRIM(F139))=0</formula>
    </cfRule>
  </conditionalFormatting>
  <conditionalFormatting sqref="B139:C139">
    <cfRule type="containsBlanks" dxfId="344" priority="116">
      <formula>LEN(TRIM(B139))=0</formula>
    </cfRule>
  </conditionalFormatting>
  <conditionalFormatting sqref="M139">
    <cfRule type="expression" dxfId="343" priority="111">
      <formula>AND(M139=0,L139&lt;&gt;"")</formula>
    </cfRule>
  </conditionalFormatting>
  <conditionalFormatting sqref="L139">
    <cfRule type="expression" dxfId="342" priority="112">
      <formula>AND(L139="",M139&gt;0)</formula>
    </cfRule>
  </conditionalFormatting>
  <conditionalFormatting sqref="L139:M139">
    <cfRule type="cellIs" dxfId="341" priority="113" operator="equal">
      <formula>0</formula>
    </cfRule>
  </conditionalFormatting>
  <conditionalFormatting sqref="R139">
    <cfRule type="containsText" dxfId="340" priority="110" operator="containsText" text="Error">
      <formula>NOT(ISERROR(SEARCH("Error",R139)))</formula>
    </cfRule>
  </conditionalFormatting>
  <conditionalFormatting sqref="N139">
    <cfRule type="expression" dxfId="339" priority="109">
      <formula>ISNUMBER(N139)=FALSE</formula>
    </cfRule>
  </conditionalFormatting>
  <conditionalFormatting sqref="D125:E125">
    <cfRule type="containsBlanks" dxfId="338" priority="108">
      <formula>LEN(TRIM(D125))=0</formula>
    </cfRule>
  </conditionalFormatting>
  <conditionalFormatting sqref="F125:K125 H126:H134 K126:K134">
    <cfRule type="containsBlanks" dxfId="337" priority="103">
      <formula>LEN(TRIM(F125))=0</formula>
    </cfRule>
  </conditionalFormatting>
  <conditionalFormatting sqref="B125:C125">
    <cfRule type="containsBlanks" dxfId="336" priority="104">
      <formula>LEN(TRIM(B125))=0</formula>
    </cfRule>
  </conditionalFormatting>
  <conditionalFormatting sqref="M125">
    <cfRule type="expression" dxfId="335" priority="99">
      <formula>AND(M125=0,L125&lt;&gt;"")</formula>
    </cfRule>
  </conditionalFormatting>
  <conditionalFormatting sqref="L125">
    <cfRule type="expression" dxfId="334" priority="100">
      <formula>AND(L125="",M125&gt;0)</formula>
    </cfRule>
  </conditionalFormatting>
  <conditionalFormatting sqref="L125:M125">
    <cfRule type="cellIs" dxfId="333" priority="101" operator="equal">
      <formula>0</formula>
    </cfRule>
  </conditionalFormatting>
  <conditionalFormatting sqref="R125">
    <cfRule type="containsText" dxfId="332" priority="98" operator="containsText" text="Error">
      <formula>NOT(ISERROR(SEARCH("Error",R125)))</formula>
    </cfRule>
  </conditionalFormatting>
  <conditionalFormatting sqref="N125">
    <cfRule type="expression" dxfId="331" priority="97">
      <formula>ISNUMBER(N125)=FALSE</formula>
    </cfRule>
  </conditionalFormatting>
  <conditionalFormatting sqref="D141:E141">
    <cfRule type="containsBlanks" dxfId="330" priority="96">
      <formula>LEN(TRIM(D141))=0</formula>
    </cfRule>
  </conditionalFormatting>
  <conditionalFormatting sqref="F141:G141 J141">
    <cfRule type="containsBlanks" dxfId="329" priority="91">
      <formula>LEN(TRIM(F141))=0</formula>
    </cfRule>
  </conditionalFormatting>
  <conditionalFormatting sqref="B141:C141">
    <cfRule type="containsBlanks" dxfId="328" priority="92">
      <formula>LEN(TRIM(B141))=0</formula>
    </cfRule>
  </conditionalFormatting>
  <conditionalFormatting sqref="M141">
    <cfRule type="expression" dxfId="327" priority="87">
      <formula>AND(M141=0,L141&lt;&gt;"")</formula>
    </cfRule>
  </conditionalFormatting>
  <conditionalFormatting sqref="L141">
    <cfRule type="expression" dxfId="326" priority="88">
      <formula>AND(L141="",M141&gt;0)</formula>
    </cfRule>
  </conditionalFormatting>
  <conditionalFormatting sqref="L141:M141">
    <cfRule type="cellIs" dxfId="325" priority="89" operator="equal">
      <formula>0</formula>
    </cfRule>
  </conditionalFormatting>
  <conditionalFormatting sqref="R141">
    <cfRule type="containsText" dxfId="324" priority="86" operator="containsText" text="Error">
      <formula>NOT(ISERROR(SEARCH("Error",R141)))</formula>
    </cfRule>
  </conditionalFormatting>
  <conditionalFormatting sqref="N141">
    <cfRule type="expression" dxfId="323" priority="85">
      <formula>ISNUMBER(N141)=FALSE</formula>
    </cfRule>
  </conditionalFormatting>
  <conditionalFormatting sqref="D142:E142">
    <cfRule type="containsBlanks" dxfId="322" priority="84">
      <formula>LEN(TRIM(D142))=0</formula>
    </cfRule>
  </conditionalFormatting>
  <conditionalFormatting sqref="F142:G142 J142">
    <cfRule type="containsBlanks" dxfId="321" priority="79">
      <formula>LEN(TRIM(F142))=0</formula>
    </cfRule>
  </conditionalFormatting>
  <conditionalFormatting sqref="B142:C142">
    <cfRule type="containsBlanks" dxfId="320" priority="80">
      <formula>LEN(TRIM(B142))=0</formula>
    </cfRule>
  </conditionalFormatting>
  <conditionalFormatting sqref="M142">
    <cfRule type="expression" dxfId="319" priority="75">
      <formula>AND(M142=0,L142&lt;&gt;"")</formula>
    </cfRule>
  </conditionalFormatting>
  <conditionalFormatting sqref="L142">
    <cfRule type="expression" dxfId="318" priority="76">
      <formula>AND(L142="",M142&gt;0)</formula>
    </cfRule>
  </conditionalFormatting>
  <conditionalFormatting sqref="L142:M142">
    <cfRule type="cellIs" dxfId="317" priority="77" operator="equal">
      <formula>0</formula>
    </cfRule>
  </conditionalFormatting>
  <conditionalFormatting sqref="R142">
    <cfRule type="containsText" dxfId="316" priority="74" operator="containsText" text="Error">
      <formula>NOT(ISERROR(SEARCH("Error",R142)))</formula>
    </cfRule>
  </conditionalFormatting>
  <conditionalFormatting sqref="N142">
    <cfRule type="expression" dxfId="315" priority="73">
      <formula>ISNUMBER(N142)=FALSE</formula>
    </cfRule>
  </conditionalFormatting>
  <conditionalFormatting sqref="D143:E143">
    <cfRule type="containsBlanks" dxfId="314" priority="72">
      <formula>LEN(TRIM(D143))=0</formula>
    </cfRule>
  </conditionalFormatting>
  <conditionalFormatting sqref="F143:G143 J143">
    <cfRule type="containsBlanks" dxfId="313" priority="67">
      <formula>LEN(TRIM(F143))=0</formula>
    </cfRule>
  </conditionalFormatting>
  <conditionalFormatting sqref="B143:C143">
    <cfRule type="containsBlanks" dxfId="312" priority="68">
      <formula>LEN(TRIM(B143))=0</formula>
    </cfRule>
  </conditionalFormatting>
  <conditionalFormatting sqref="M143">
    <cfRule type="expression" dxfId="311" priority="63">
      <formula>AND(M143=0,L143&lt;&gt;"")</formula>
    </cfRule>
  </conditionalFormatting>
  <conditionalFormatting sqref="L143">
    <cfRule type="expression" dxfId="310" priority="64">
      <formula>AND(L143="",M143&gt;0)</formula>
    </cfRule>
  </conditionalFormatting>
  <conditionalFormatting sqref="L143:M143">
    <cfRule type="cellIs" dxfId="309" priority="65" operator="equal">
      <formula>0</formula>
    </cfRule>
  </conditionalFormatting>
  <conditionalFormatting sqref="R143">
    <cfRule type="containsText" dxfId="308" priority="62" operator="containsText" text="Error">
      <formula>NOT(ISERROR(SEARCH("Error",R143)))</formula>
    </cfRule>
  </conditionalFormatting>
  <conditionalFormatting sqref="N143">
    <cfRule type="expression" dxfId="307" priority="61">
      <formula>ISNUMBER(N143)=FALSE</formula>
    </cfRule>
  </conditionalFormatting>
  <conditionalFormatting sqref="D144:E144">
    <cfRule type="containsBlanks" dxfId="306" priority="60">
      <formula>LEN(TRIM(D144))=0</formula>
    </cfRule>
  </conditionalFormatting>
  <conditionalFormatting sqref="F144:G144 J144">
    <cfRule type="containsBlanks" dxfId="305" priority="55">
      <formula>LEN(TRIM(F144))=0</formula>
    </cfRule>
  </conditionalFormatting>
  <conditionalFormatting sqref="B144:C144">
    <cfRule type="containsBlanks" dxfId="304" priority="56">
      <formula>LEN(TRIM(B144))=0</formula>
    </cfRule>
  </conditionalFormatting>
  <conditionalFormatting sqref="M144">
    <cfRule type="expression" dxfId="303" priority="51">
      <formula>AND(M144=0,L144&lt;&gt;"")</formula>
    </cfRule>
  </conditionalFormatting>
  <conditionalFormatting sqref="L144">
    <cfRule type="expression" dxfId="302" priority="52">
      <formula>AND(L144="",M144&gt;0)</formula>
    </cfRule>
  </conditionalFormatting>
  <conditionalFormatting sqref="L144:M144">
    <cfRule type="cellIs" dxfId="301" priority="53" operator="equal">
      <formula>0</formula>
    </cfRule>
  </conditionalFormatting>
  <conditionalFormatting sqref="R144">
    <cfRule type="containsText" dxfId="300" priority="50" operator="containsText" text="Error">
      <formula>NOT(ISERROR(SEARCH("Error",R144)))</formula>
    </cfRule>
  </conditionalFormatting>
  <conditionalFormatting sqref="N144">
    <cfRule type="expression" dxfId="299" priority="49">
      <formula>ISNUMBER(N144)=FALSE</formula>
    </cfRule>
  </conditionalFormatting>
  <dataValidations xWindow="272" yWindow="789" count="11">
    <dataValidation allowBlank="1" showInputMessage="1" errorTitle="Warning: Max Ceilings exceeded" error="Please be aware that this exceed the &quot;Ceilings&quot; for the maximum amounts for staff cost by country" sqref="N13:O144"/>
    <dataValidation allowBlank="1" showInputMessage="1" showErrorMessage="1" error="Please encode City of Destination" prompt="Please encode City of Destination" sqref="I13:I144"/>
    <dataValidation type="whole" allowBlank="1" showInputMessage="1" showErrorMessage="1" error="Format error (whole number only)" prompt="Please encode number (whole number only)" sqref="H13:H144">
      <formula1>0</formula1>
      <formula2>50000</formula2>
    </dataValidation>
    <dataValidation allowBlank="1" showInputMessage="1" showErrorMessage="1" error="Please encode City of Departure" prompt="Please encode City of Departure" sqref="F13:F144"/>
    <dataValidation type="whole" allowBlank="1" showInputMessage="1" showErrorMessage="1" error="Please encode the number of days - Max 90 days for Student and Staff (whole number only)" prompt="Please encode the number of days - Max 90 days for Student and Staff (whole number only)" sqref="K13:K144">
      <formula1>0</formula1>
      <formula2>90</formula2>
    </dataValidation>
    <dataValidation type="list" allowBlank="1" showInputMessage="1" showErrorMessage="1" error="Click arrow to select Category" prompt="Click arrow to select Category" sqref="G13:G144">
      <formula1>Category2</formula1>
    </dataValidation>
    <dataValidation type="list" allowBlank="1" showInputMessage="1" showErrorMessage="1" error="Click arrow to select Work Package" prompt="Click arrow to select Work Package" sqref="B13:B144">
      <formula1>WorkPackage</formula1>
    </dataValidation>
    <dataValidation type="list" allowBlank="1" showInputMessage="1" showErrorMessage="1" error="Click arrow to select Distance" prompt="Click arrow to select Distance" sqref="J13:J144">
      <formula1>TravelBands</formula1>
    </dataValidation>
    <dataValidation type="list" allowBlank="1" showInputMessage="1" showErrorMessage="1" error="Click arrow to select Partner N°" prompt="Click arrow to select Partner N°" sqref="C13:C144">
      <formula1>PartnerN°</formula1>
    </dataValidation>
    <dataValidation type="list" allowBlank="1" showInputMessage="1" showErrorMessage="1" errorTitle="Select correct option" error="Please use the drop down menu to select the correct option" sqref="L13:L144">
      <formula1>Exceptional_costs</formula1>
    </dataValidation>
    <dataValidation type="decimal" operator="greaterThanOrEqual" allowBlank="1" showInputMessage="1" showErrorMessage="1" errorTitle="Warning: Cost must be number" error="Please enter a numeric value." sqref="M13:M144">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21"/>
  <sheetViews>
    <sheetView showGridLines="0" zoomScale="70" zoomScaleNormal="70" zoomScaleSheetLayoutView="55" workbookViewId="0">
      <pane ySplit="13" topLeftCell="A14" activePane="bottomLeft" state="frozen"/>
      <selection pane="bottomLeft" activeCell="G21" sqref="G21"/>
    </sheetView>
  </sheetViews>
  <sheetFormatPr baseColWidth="10"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83"/>
      <c r="C1" s="183"/>
      <c r="D1" s="183"/>
      <c r="E1" s="183"/>
      <c r="F1" s="183"/>
      <c r="G1" s="183"/>
      <c r="H1" s="183"/>
      <c r="I1" s="183"/>
    </row>
    <row r="2" spans="2:9" s="24" customFormat="1" ht="39.950000000000003" customHeight="1" x14ac:dyDescent="0.25">
      <c r="B2" s="161" t="s">
        <v>185</v>
      </c>
      <c r="C2" s="161"/>
      <c r="D2" s="161"/>
      <c r="E2" s="161"/>
      <c r="F2" s="161"/>
      <c r="G2" s="161"/>
      <c r="H2" s="161"/>
      <c r="I2" s="161"/>
    </row>
    <row r="3" spans="2:9" s="24" customFormat="1" ht="8.1" customHeight="1" x14ac:dyDescent="0.25">
      <c r="B3" s="151"/>
      <c r="C3" s="152"/>
      <c r="D3" s="152"/>
      <c r="E3" s="152"/>
      <c r="F3" s="152"/>
      <c r="G3" s="152"/>
      <c r="H3" s="152"/>
      <c r="I3" s="153"/>
    </row>
    <row r="4" spans="2:9" s="24" customFormat="1" ht="9.9499999999999993" customHeight="1" x14ac:dyDescent="0.25">
      <c r="B4" s="186" t="s">
        <v>184</v>
      </c>
      <c r="C4" s="189">
        <f>SUM(H:H)</f>
        <v>183675</v>
      </c>
      <c r="D4" s="190"/>
      <c r="E4" s="147"/>
      <c r="F4" s="148"/>
      <c r="G4" s="148"/>
      <c r="H4" s="148"/>
      <c r="I4" s="149"/>
    </row>
    <row r="5" spans="2:9" s="24" customFormat="1" ht="9.9499999999999993" customHeight="1" x14ac:dyDescent="0.25">
      <c r="B5" s="187"/>
      <c r="C5" s="191"/>
      <c r="D5" s="192"/>
      <c r="E5" s="147"/>
      <c r="F5" s="148"/>
      <c r="G5" s="148"/>
      <c r="H5" s="148"/>
      <c r="I5" s="149"/>
    </row>
    <row r="6" spans="2:9" s="24" customFormat="1" ht="9.9499999999999993" customHeight="1" x14ac:dyDescent="0.25">
      <c r="B6" s="187"/>
      <c r="C6" s="191"/>
      <c r="D6" s="192"/>
      <c r="E6" s="147"/>
      <c r="F6" s="148"/>
      <c r="G6" s="148"/>
      <c r="H6" s="148"/>
      <c r="I6" s="149"/>
    </row>
    <row r="7" spans="2:9" s="24" customFormat="1" ht="9.9499999999999993" customHeight="1" x14ac:dyDescent="0.25">
      <c r="B7" s="187"/>
      <c r="C7" s="191"/>
      <c r="D7" s="192"/>
      <c r="E7" s="147"/>
      <c r="F7" s="148"/>
      <c r="G7" s="148"/>
      <c r="H7" s="148"/>
      <c r="I7" s="149"/>
    </row>
    <row r="8" spans="2:9" s="24" customFormat="1" ht="9.9499999999999993" customHeight="1" x14ac:dyDescent="0.25">
      <c r="B8" s="187"/>
      <c r="C8" s="191"/>
      <c r="D8" s="192"/>
      <c r="E8" s="147"/>
      <c r="F8" s="148"/>
      <c r="G8" s="148"/>
      <c r="H8" s="148"/>
      <c r="I8" s="149"/>
    </row>
    <row r="9" spans="2:9" s="24" customFormat="1" ht="9.9499999999999993" customHeight="1" x14ac:dyDescent="0.25">
      <c r="B9" s="188"/>
      <c r="C9" s="193"/>
      <c r="D9" s="194"/>
      <c r="E9" s="147"/>
      <c r="F9" s="148"/>
      <c r="G9" s="148"/>
      <c r="H9" s="148"/>
      <c r="I9" s="149"/>
    </row>
    <row r="10" spans="2:9" s="24" customFormat="1" ht="8.1" customHeight="1" x14ac:dyDescent="0.25">
      <c r="B10" s="143"/>
      <c r="C10" s="150"/>
      <c r="D10" s="150"/>
      <c r="E10" s="150"/>
      <c r="F10" s="150"/>
      <c r="G10" s="150"/>
      <c r="H10" s="150"/>
      <c r="I10" s="144"/>
    </row>
    <row r="11" spans="2:9" s="49" customFormat="1" ht="42" customHeight="1" x14ac:dyDescent="0.25">
      <c r="B11" s="133" t="s">
        <v>162</v>
      </c>
      <c r="C11" s="133" t="s">
        <v>147</v>
      </c>
      <c r="D11" s="133" t="s">
        <v>216</v>
      </c>
      <c r="E11" s="185" t="s">
        <v>217</v>
      </c>
      <c r="F11" s="135" t="s">
        <v>132</v>
      </c>
      <c r="G11" s="184" t="s">
        <v>165</v>
      </c>
      <c r="H11" s="184" t="s">
        <v>164</v>
      </c>
      <c r="I11" s="184" t="s">
        <v>218</v>
      </c>
    </row>
    <row r="12" spans="2:9" ht="23.85" customHeight="1" x14ac:dyDescent="0.25">
      <c r="B12" s="134"/>
      <c r="C12" s="134"/>
      <c r="D12" s="134"/>
      <c r="E12" s="135"/>
      <c r="F12" s="134"/>
      <c r="G12" s="134"/>
      <c r="H12" s="134"/>
      <c r="I12" s="134"/>
    </row>
    <row r="13" spans="2:9" s="38" customFormat="1" hidden="1" x14ac:dyDescent="0.25">
      <c r="B13" s="18"/>
      <c r="C13" s="23"/>
      <c r="D13" s="46" t="str">
        <f t="shared" ref="D13:D21" si="0">IFERROR(IF(VLOOKUP(C13,PartnerN°Ref,2,FALSE)=0,"",VLOOKUP(C13,PartnerN°Ref,2,FALSE)),"")</f>
        <v/>
      </c>
      <c r="E13" s="46" t="str">
        <f t="shared" ref="E13:E21" si="1">IFERROR(IF(OR(VLOOKUP(C13,PartnerN°Ref,4,FALSE)="Country not found",VLOOKUP(C13,PartnerN°Ref,3,FALSE)=0),"",VLOOKUP(C13,PartnerN°Ref,3,FALSE)),"")</f>
        <v/>
      </c>
      <c r="F13" s="22"/>
      <c r="G13" s="39">
        <v>0</v>
      </c>
      <c r="H13" s="40">
        <f t="shared" ref="H13:H21" si="2">IF(I13="Error",0,ROUND(G13,2))</f>
        <v>0</v>
      </c>
      <c r="I13" s="37" t="str">
        <f t="shared" ref="I13:I21" si="3">IF(OR(COUNTIF(WorkPackage,B13)=0,COUNTIF(PartnerN°,C13)=0,D13="",COUNTIF(CountryEligEquip,E13)=0,F13="",ISNUMBER(G13)=FALSE,IF(ISNUMBER(G13)=TRUE,G13=INT(G13*100)/100=FALSE)),"Error","")</f>
        <v>Error</v>
      </c>
    </row>
    <row r="14" spans="2:9" s="38" customFormat="1" x14ac:dyDescent="0.25">
      <c r="B14" s="18" t="s">
        <v>172</v>
      </c>
      <c r="C14" s="23" t="s">
        <v>9</v>
      </c>
      <c r="D14" s="46" t="str">
        <f t="shared" si="0"/>
        <v>Universidad Industrial de Santander</v>
      </c>
      <c r="E14" s="46" t="str">
        <f t="shared" si="1"/>
        <v>Colombia</v>
      </c>
      <c r="F14" s="22" t="s">
        <v>374</v>
      </c>
      <c r="G14" s="39">
        <v>22828</v>
      </c>
      <c r="H14" s="40">
        <f t="shared" si="2"/>
        <v>22828</v>
      </c>
      <c r="I14" s="37" t="str">
        <f t="shared" si="3"/>
        <v/>
      </c>
    </row>
    <row r="15" spans="2:9" s="38" customFormat="1" x14ac:dyDescent="0.25">
      <c r="B15" s="18" t="s">
        <v>172</v>
      </c>
      <c r="C15" s="23" t="s">
        <v>10</v>
      </c>
      <c r="D15" s="46" t="str">
        <f t="shared" si="0"/>
        <v>UNIVERSIDAD ANTONIO NARINO</v>
      </c>
      <c r="E15" s="46" t="str">
        <f t="shared" si="1"/>
        <v>Colombia</v>
      </c>
      <c r="F15" s="22" t="s">
        <v>375</v>
      </c>
      <c r="G15" s="39">
        <v>24501</v>
      </c>
      <c r="H15" s="40">
        <f t="shared" si="2"/>
        <v>24501</v>
      </c>
      <c r="I15" s="37" t="str">
        <f t="shared" si="3"/>
        <v/>
      </c>
    </row>
    <row r="16" spans="2:9" s="38" customFormat="1" x14ac:dyDescent="0.25">
      <c r="B16" s="18" t="s">
        <v>172</v>
      </c>
      <c r="C16" s="23" t="s">
        <v>11</v>
      </c>
      <c r="D16" s="46" t="str">
        <f t="shared" si="0"/>
        <v>UNIVERSIDAD SAN FRANCISCO DE QUITO</v>
      </c>
      <c r="E16" s="46" t="str">
        <f t="shared" si="1"/>
        <v>Ecuador</v>
      </c>
      <c r="F16" s="22" t="s">
        <v>376</v>
      </c>
      <c r="G16" s="39">
        <v>30923</v>
      </c>
      <c r="H16" s="40">
        <f t="shared" si="2"/>
        <v>30923</v>
      </c>
      <c r="I16" s="37" t="str">
        <f t="shared" si="3"/>
        <v/>
      </c>
    </row>
    <row r="17" spans="2:9" s="38" customFormat="1" ht="36" x14ac:dyDescent="0.25">
      <c r="B17" s="18" t="s">
        <v>172</v>
      </c>
      <c r="C17" s="23" t="s">
        <v>12</v>
      </c>
      <c r="D17" s="46" t="str">
        <f t="shared" si="0"/>
        <v>UNIVERSIDADDE INVESTIGACIONDE TECNOLOGIA EXPERIMENTAL YACHAY</v>
      </c>
      <c r="E17" s="46" t="str">
        <f t="shared" si="1"/>
        <v>Ecuador</v>
      </c>
      <c r="F17" s="22" t="s">
        <v>377</v>
      </c>
      <c r="G17" s="39">
        <v>17927</v>
      </c>
      <c r="H17" s="40">
        <f t="shared" si="2"/>
        <v>17927</v>
      </c>
      <c r="I17" s="37" t="str">
        <f t="shared" si="3"/>
        <v/>
      </c>
    </row>
    <row r="18" spans="2:9" s="38" customFormat="1" ht="36" x14ac:dyDescent="0.25">
      <c r="B18" s="18" t="s">
        <v>172</v>
      </c>
      <c r="C18" s="23" t="s">
        <v>13</v>
      </c>
      <c r="D18" s="46" t="str">
        <f t="shared" si="0"/>
        <v>UNIVERSIDAD NACIONAL MAYOR DE SAN MARCOS</v>
      </c>
      <c r="E18" s="46" t="str">
        <f t="shared" si="1"/>
        <v>Peru</v>
      </c>
      <c r="F18" s="22" t="s">
        <v>377</v>
      </c>
      <c r="G18" s="39">
        <v>17927</v>
      </c>
      <c r="H18" s="40">
        <f t="shared" si="2"/>
        <v>17927</v>
      </c>
      <c r="I18" s="37" t="str">
        <f t="shared" si="3"/>
        <v/>
      </c>
    </row>
    <row r="19" spans="2:9" s="38" customFormat="1" x14ac:dyDescent="0.25">
      <c r="B19" s="18" t="s">
        <v>172</v>
      </c>
      <c r="C19" s="23" t="s">
        <v>14</v>
      </c>
      <c r="D19" s="46" t="str">
        <f t="shared" si="0"/>
        <v xml:space="preserve">Universidad Nacional de Ingenieria </v>
      </c>
      <c r="E19" s="46" t="str">
        <f t="shared" si="1"/>
        <v>Peru</v>
      </c>
      <c r="F19" s="22" t="s">
        <v>378</v>
      </c>
      <c r="G19" s="39">
        <v>33715</v>
      </c>
      <c r="H19" s="40">
        <f t="shared" si="2"/>
        <v>33715</v>
      </c>
      <c r="I19" s="37" t="str">
        <f t="shared" si="3"/>
        <v/>
      </c>
    </row>
    <row r="20" spans="2:9" s="38" customFormat="1" x14ac:dyDescent="0.25">
      <c r="B20" s="18" t="s">
        <v>172</v>
      </c>
      <c r="C20" s="23" t="s">
        <v>15</v>
      </c>
      <c r="D20" s="46" t="str">
        <f t="shared" si="0"/>
        <v>UNIVERSIDAD CENTRAL DE VENEZUELA</v>
      </c>
      <c r="E20" s="46" t="str">
        <f t="shared" si="1"/>
        <v>Venezuela</v>
      </c>
      <c r="F20" s="22" t="s">
        <v>377</v>
      </c>
      <c r="G20" s="39">
        <v>17927</v>
      </c>
      <c r="H20" s="40">
        <f t="shared" si="2"/>
        <v>17927</v>
      </c>
      <c r="I20" s="37" t="str">
        <f t="shared" si="3"/>
        <v/>
      </c>
    </row>
    <row r="21" spans="2:9" s="38" customFormat="1" x14ac:dyDescent="0.25">
      <c r="B21" s="18" t="s">
        <v>172</v>
      </c>
      <c r="C21" s="23" t="s">
        <v>16</v>
      </c>
      <c r="D21" s="46" t="str">
        <f t="shared" si="0"/>
        <v>UNIVERSIDAD SIMON BOLIVAR</v>
      </c>
      <c r="E21" s="46" t="str">
        <f t="shared" si="1"/>
        <v>Venezuela</v>
      </c>
      <c r="F21" s="22" t="s">
        <v>377</v>
      </c>
      <c r="G21" s="39">
        <v>17927</v>
      </c>
      <c r="H21" s="40">
        <f t="shared" si="2"/>
        <v>17927</v>
      </c>
      <c r="I21" s="37" t="str">
        <f t="shared" si="3"/>
        <v/>
      </c>
    </row>
  </sheetData>
  <sheetProtection password="E359"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298" priority="410" operator="containsText" text="Error">
      <formula>NOT(ISERROR(SEARCH("Error",I13)))</formula>
    </cfRule>
  </conditionalFormatting>
  <conditionalFormatting sqref="D13:E14">
    <cfRule type="containsBlanks" dxfId="297" priority="405">
      <formula>LEN(TRIM(D13))=0</formula>
    </cfRule>
  </conditionalFormatting>
  <conditionalFormatting sqref="E13">
    <cfRule type="expression" dxfId="296" priority="327">
      <formula>COUNTIF(CountryEligEquip,E13)=0</formula>
    </cfRule>
  </conditionalFormatting>
  <conditionalFormatting sqref="E14">
    <cfRule type="expression" dxfId="295" priority="328">
      <formula>COUNTIF(CountryEligEquip,E14)=0</formula>
    </cfRule>
  </conditionalFormatting>
  <conditionalFormatting sqref="G13">
    <cfRule type="cellIs" dxfId="294" priority="56" operator="lessThanOrEqual">
      <formula>0</formula>
    </cfRule>
  </conditionalFormatting>
  <conditionalFormatting sqref="F13:G13">
    <cfRule type="containsBlanks" dxfId="293" priority="53">
      <formula>LEN(TRIM(F13))=0</formula>
    </cfRule>
  </conditionalFormatting>
  <conditionalFormatting sqref="G14">
    <cfRule type="cellIs" dxfId="292" priority="52" operator="lessThanOrEqual">
      <formula>0</formula>
    </cfRule>
  </conditionalFormatting>
  <conditionalFormatting sqref="F14:G14">
    <cfRule type="containsBlanks" dxfId="291" priority="51">
      <formula>LEN(TRIM(F14))=0</formula>
    </cfRule>
  </conditionalFormatting>
  <conditionalFormatting sqref="B13:C13">
    <cfRule type="containsBlanks" dxfId="290" priority="50">
      <formula>LEN(TRIM(B13))=0</formula>
    </cfRule>
  </conditionalFormatting>
  <conditionalFormatting sqref="B14:C14">
    <cfRule type="containsBlanks" dxfId="289" priority="49">
      <formula>LEN(TRIM(B14))=0</formula>
    </cfRule>
  </conditionalFormatting>
  <conditionalFormatting sqref="I15">
    <cfRule type="containsText" dxfId="288" priority="42" operator="containsText" text="Error">
      <formula>NOT(ISERROR(SEARCH("Error",I15)))</formula>
    </cfRule>
  </conditionalFormatting>
  <conditionalFormatting sqref="D15:E15">
    <cfRule type="containsBlanks" dxfId="287" priority="41">
      <formula>LEN(TRIM(D15))=0</formula>
    </cfRule>
  </conditionalFormatting>
  <conditionalFormatting sqref="E15">
    <cfRule type="expression" dxfId="286" priority="40">
      <formula>COUNTIF(CountryEligEquip,E15)=0</formula>
    </cfRule>
  </conditionalFormatting>
  <conditionalFormatting sqref="G15">
    <cfRule type="cellIs" dxfId="285" priority="39" operator="lessThanOrEqual">
      <formula>0</formula>
    </cfRule>
  </conditionalFormatting>
  <conditionalFormatting sqref="F15:G15">
    <cfRule type="containsBlanks" dxfId="284" priority="38">
      <formula>LEN(TRIM(F15))=0</formula>
    </cfRule>
  </conditionalFormatting>
  <conditionalFormatting sqref="B15:C15">
    <cfRule type="containsBlanks" dxfId="283" priority="37">
      <formula>LEN(TRIM(B15))=0</formula>
    </cfRule>
  </conditionalFormatting>
  <conditionalFormatting sqref="I16">
    <cfRule type="containsText" dxfId="282" priority="36" operator="containsText" text="Error">
      <formula>NOT(ISERROR(SEARCH("Error",I16)))</formula>
    </cfRule>
  </conditionalFormatting>
  <conditionalFormatting sqref="D16:E16">
    <cfRule type="containsBlanks" dxfId="281" priority="35">
      <formula>LEN(TRIM(D16))=0</formula>
    </cfRule>
  </conditionalFormatting>
  <conditionalFormatting sqref="E16">
    <cfRule type="expression" dxfId="280" priority="34">
      <formula>COUNTIF(CountryEligEquip,E16)=0</formula>
    </cfRule>
  </conditionalFormatting>
  <conditionalFormatting sqref="G16">
    <cfRule type="cellIs" dxfId="279" priority="33" operator="lessThanOrEqual">
      <formula>0</formula>
    </cfRule>
  </conditionalFormatting>
  <conditionalFormatting sqref="F16:G16">
    <cfRule type="containsBlanks" dxfId="278" priority="32">
      <formula>LEN(TRIM(F16))=0</formula>
    </cfRule>
  </conditionalFormatting>
  <conditionalFormatting sqref="B16:C16">
    <cfRule type="containsBlanks" dxfId="277" priority="31">
      <formula>LEN(TRIM(B16))=0</formula>
    </cfRule>
  </conditionalFormatting>
  <conditionalFormatting sqref="I17">
    <cfRule type="containsText" dxfId="276" priority="30" operator="containsText" text="Error">
      <formula>NOT(ISERROR(SEARCH("Error",I17)))</formula>
    </cfRule>
  </conditionalFormatting>
  <conditionalFormatting sqref="D17:E17">
    <cfRule type="containsBlanks" dxfId="275" priority="29">
      <formula>LEN(TRIM(D17))=0</formula>
    </cfRule>
  </conditionalFormatting>
  <conditionalFormatting sqref="E17">
    <cfRule type="expression" dxfId="274" priority="28">
      <formula>COUNTIF(CountryEligEquip,E17)=0</formula>
    </cfRule>
  </conditionalFormatting>
  <conditionalFormatting sqref="G17">
    <cfRule type="cellIs" dxfId="273" priority="27" operator="lessThanOrEqual">
      <formula>0</formula>
    </cfRule>
  </conditionalFormatting>
  <conditionalFormatting sqref="F17:G17">
    <cfRule type="containsBlanks" dxfId="272" priority="26">
      <formula>LEN(TRIM(F17))=0</formula>
    </cfRule>
  </conditionalFormatting>
  <conditionalFormatting sqref="B17:C17">
    <cfRule type="containsBlanks" dxfId="271" priority="25">
      <formula>LEN(TRIM(B17))=0</formula>
    </cfRule>
  </conditionalFormatting>
  <conditionalFormatting sqref="I18">
    <cfRule type="containsText" dxfId="270" priority="24" operator="containsText" text="Error">
      <formula>NOT(ISERROR(SEARCH("Error",I18)))</formula>
    </cfRule>
  </conditionalFormatting>
  <conditionalFormatting sqref="D18:E18">
    <cfRule type="containsBlanks" dxfId="269" priority="23">
      <formula>LEN(TRIM(D18))=0</formula>
    </cfRule>
  </conditionalFormatting>
  <conditionalFormatting sqref="E18">
    <cfRule type="expression" dxfId="268" priority="22">
      <formula>COUNTIF(CountryEligEquip,E18)=0</formula>
    </cfRule>
  </conditionalFormatting>
  <conditionalFormatting sqref="G18">
    <cfRule type="cellIs" dxfId="267" priority="21" operator="lessThanOrEqual">
      <formula>0</formula>
    </cfRule>
  </conditionalFormatting>
  <conditionalFormatting sqref="F18:G18">
    <cfRule type="containsBlanks" dxfId="266" priority="20">
      <formula>LEN(TRIM(F18))=0</formula>
    </cfRule>
  </conditionalFormatting>
  <conditionalFormatting sqref="B18:C18">
    <cfRule type="containsBlanks" dxfId="265" priority="19">
      <formula>LEN(TRIM(B18))=0</formula>
    </cfRule>
  </conditionalFormatting>
  <conditionalFormatting sqref="I19">
    <cfRule type="containsText" dxfId="264" priority="18" operator="containsText" text="Error">
      <formula>NOT(ISERROR(SEARCH("Error",I19)))</formula>
    </cfRule>
  </conditionalFormatting>
  <conditionalFormatting sqref="D19:E19">
    <cfRule type="containsBlanks" dxfId="263" priority="17">
      <formula>LEN(TRIM(D19))=0</formula>
    </cfRule>
  </conditionalFormatting>
  <conditionalFormatting sqref="E19">
    <cfRule type="expression" dxfId="262" priority="16">
      <formula>COUNTIF(CountryEligEquip,E19)=0</formula>
    </cfRule>
  </conditionalFormatting>
  <conditionalFormatting sqref="G19">
    <cfRule type="cellIs" dxfId="261" priority="15" operator="lessThanOrEqual">
      <formula>0</formula>
    </cfRule>
  </conditionalFormatting>
  <conditionalFormatting sqref="F19:G19">
    <cfRule type="containsBlanks" dxfId="260" priority="14">
      <formula>LEN(TRIM(F19))=0</formula>
    </cfRule>
  </conditionalFormatting>
  <conditionalFormatting sqref="B19:C19">
    <cfRule type="containsBlanks" dxfId="259" priority="13">
      <formula>LEN(TRIM(B19))=0</formula>
    </cfRule>
  </conditionalFormatting>
  <conditionalFormatting sqref="I20">
    <cfRule type="containsText" dxfId="258" priority="12" operator="containsText" text="Error">
      <formula>NOT(ISERROR(SEARCH("Error",I20)))</formula>
    </cfRule>
  </conditionalFormatting>
  <conditionalFormatting sqref="D20:E20">
    <cfRule type="containsBlanks" dxfId="257" priority="11">
      <formula>LEN(TRIM(D20))=0</formula>
    </cfRule>
  </conditionalFormatting>
  <conditionalFormatting sqref="E20">
    <cfRule type="expression" dxfId="256" priority="10">
      <formula>COUNTIF(CountryEligEquip,E20)=0</formula>
    </cfRule>
  </conditionalFormatting>
  <conditionalFormatting sqref="G20">
    <cfRule type="cellIs" dxfId="255" priority="9" operator="lessThanOrEqual">
      <formula>0</formula>
    </cfRule>
  </conditionalFormatting>
  <conditionalFormatting sqref="F20:G20">
    <cfRule type="containsBlanks" dxfId="254" priority="8">
      <formula>LEN(TRIM(F20))=0</formula>
    </cfRule>
  </conditionalFormatting>
  <conditionalFormatting sqref="B20:C20">
    <cfRule type="containsBlanks" dxfId="253" priority="7">
      <formula>LEN(TRIM(B20))=0</formula>
    </cfRule>
  </conditionalFormatting>
  <conditionalFormatting sqref="I21">
    <cfRule type="containsText" dxfId="252" priority="6" operator="containsText" text="Error">
      <formula>NOT(ISERROR(SEARCH("Error",I21)))</formula>
    </cfRule>
  </conditionalFormatting>
  <conditionalFormatting sqref="D21:E21">
    <cfRule type="containsBlanks" dxfId="251" priority="5">
      <formula>LEN(TRIM(D21))=0</formula>
    </cfRule>
  </conditionalFormatting>
  <conditionalFormatting sqref="E21">
    <cfRule type="expression" dxfId="250" priority="4">
      <formula>COUNTIF(CountryEligEquip,E21)=0</formula>
    </cfRule>
  </conditionalFormatting>
  <conditionalFormatting sqref="G21">
    <cfRule type="cellIs" dxfId="249" priority="3" operator="lessThanOrEqual">
      <formula>0</formula>
    </cfRule>
  </conditionalFormatting>
  <conditionalFormatting sqref="F21:G21">
    <cfRule type="containsBlanks" dxfId="248" priority="2">
      <formula>LEN(TRIM(F21))=0</formula>
    </cfRule>
  </conditionalFormatting>
  <conditionalFormatting sqref="B21:C21">
    <cfRule type="containsBlanks" dxfId="247" priority="1">
      <formula>LEN(TRIM(B21))=0</formula>
    </cfRule>
  </conditionalFormatting>
  <dataValidations count="4">
    <dataValidation type="custom" allowBlank="1" showInputMessage="1" showErrorMessage="1" error="Format error (2 decimals only)" prompt="Please encode amount (2 decimals only)" sqref="G13:G21">
      <formula1>G13=INT(G13*100)/100</formula1>
    </dataValidation>
    <dataValidation allowBlank="1" showInputMessage="1" showErrorMessage="1" error="Please encode Nature, type and specifications" prompt="Please encode Nature, type and specifications" sqref="F13:F21"/>
    <dataValidation type="list" allowBlank="1" showInputMessage="1" showErrorMessage="1" error="Click arrow to select Work Package" prompt="Click arrow to select Work Package" sqref="B13:B21">
      <formula1>WorkPackage</formula1>
    </dataValidation>
    <dataValidation type="list" allowBlank="1" showInputMessage="1" showErrorMessage="1" error="Click arrow to select Partner N°" prompt="Click arrow to select Partner N°" sqref="C13:C21">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5"/>
  <sheetViews>
    <sheetView showGridLines="0" zoomScale="70" zoomScaleNormal="70" zoomScaleSheetLayoutView="55" workbookViewId="0">
      <pane ySplit="13" topLeftCell="A14" activePane="bottomLeft" state="frozen"/>
      <selection pane="bottomLeft" activeCell="G15" sqref="G15"/>
    </sheetView>
  </sheetViews>
  <sheetFormatPr baseColWidth="10"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83"/>
      <c r="C1" s="183"/>
      <c r="D1" s="183"/>
      <c r="E1" s="183"/>
      <c r="F1" s="183"/>
      <c r="G1" s="183"/>
      <c r="H1" s="183"/>
      <c r="I1" s="183"/>
    </row>
    <row r="2" spans="2:9" s="24" customFormat="1" ht="39.950000000000003" customHeight="1" x14ac:dyDescent="0.25">
      <c r="B2" s="161" t="s">
        <v>186</v>
      </c>
      <c r="C2" s="161"/>
      <c r="D2" s="161"/>
      <c r="E2" s="161"/>
      <c r="F2" s="161"/>
      <c r="G2" s="161"/>
      <c r="H2" s="161"/>
      <c r="I2" s="161"/>
    </row>
    <row r="3" spans="2:9" s="24" customFormat="1" ht="8.1" customHeight="1" x14ac:dyDescent="0.25">
      <c r="B3" s="151"/>
      <c r="C3" s="152"/>
      <c r="D3" s="152"/>
      <c r="E3" s="152"/>
      <c r="F3" s="152"/>
      <c r="G3" s="152"/>
      <c r="H3" s="152"/>
      <c r="I3" s="153"/>
    </row>
    <row r="4" spans="2:9" s="24" customFormat="1" ht="9.9499999999999993" customHeight="1" x14ac:dyDescent="0.25">
      <c r="B4" s="186" t="s">
        <v>184</v>
      </c>
      <c r="C4" s="189">
        <f>SUM(H:H)</f>
        <v>20500</v>
      </c>
      <c r="D4" s="190"/>
      <c r="E4" s="147"/>
      <c r="F4" s="148"/>
      <c r="G4" s="148"/>
      <c r="H4" s="148"/>
      <c r="I4" s="149"/>
    </row>
    <row r="5" spans="2:9" s="24" customFormat="1" ht="9.9499999999999993" customHeight="1" x14ac:dyDescent="0.25">
      <c r="B5" s="187"/>
      <c r="C5" s="191"/>
      <c r="D5" s="192"/>
      <c r="E5" s="147"/>
      <c r="F5" s="148"/>
      <c r="G5" s="148"/>
      <c r="H5" s="148"/>
      <c r="I5" s="149"/>
    </row>
    <row r="6" spans="2:9" s="24" customFormat="1" ht="9.9499999999999993" customHeight="1" x14ac:dyDescent="0.25">
      <c r="B6" s="187"/>
      <c r="C6" s="191"/>
      <c r="D6" s="192"/>
      <c r="E6" s="147"/>
      <c r="F6" s="148"/>
      <c r="G6" s="148"/>
      <c r="H6" s="148"/>
      <c r="I6" s="149"/>
    </row>
    <row r="7" spans="2:9" s="24" customFormat="1" ht="9.9499999999999993" customHeight="1" x14ac:dyDescent="0.25">
      <c r="B7" s="187"/>
      <c r="C7" s="191"/>
      <c r="D7" s="192"/>
      <c r="E7" s="147"/>
      <c r="F7" s="148"/>
      <c r="G7" s="148"/>
      <c r="H7" s="148"/>
      <c r="I7" s="149"/>
    </row>
    <row r="8" spans="2:9" s="24" customFormat="1" ht="9.9499999999999993" customHeight="1" x14ac:dyDescent="0.25">
      <c r="B8" s="187"/>
      <c r="C8" s="191"/>
      <c r="D8" s="192"/>
      <c r="E8" s="147"/>
      <c r="F8" s="148"/>
      <c r="G8" s="148"/>
      <c r="H8" s="148"/>
      <c r="I8" s="149"/>
    </row>
    <row r="9" spans="2:9" s="24" customFormat="1" ht="9.9499999999999993" customHeight="1" x14ac:dyDescent="0.25">
      <c r="B9" s="188"/>
      <c r="C9" s="193"/>
      <c r="D9" s="194"/>
      <c r="E9" s="147"/>
      <c r="F9" s="148"/>
      <c r="G9" s="148"/>
      <c r="H9" s="148"/>
      <c r="I9" s="149"/>
    </row>
    <row r="10" spans="2:9" s="24" customFormat="1" ht="8.1" customHeight="1" x14ac:dyDescent="0.25">
      <c r="B10" s="143"/>
      <c r="C10" s="150"/>
      <c r="D10" s="150"/>
      <c r="E10" s="150"/>
      <c r="F10" s="150"/>
      <c r="G10" s="150"/>
      <c r="H10" s="150"/>
      <c r="I10" s="144"/>
    </row>
    <row r="11" spans="2:9" s="49" customFormat="1" ht="42" customHeight="1" x14ac:dyDescent="0.25">
      <c r="B11" s="133" t="s">
        <v>162</v>
      </c>
      <c r="C11" s="133" t="s">
        <v>147</v>
      </c>
      <c r="D11" s="133" t="s">
        <v>216</v>
      </c>
      <c r="E11" s="133" t="s">
        <v>217</v>
      </c>
      <c r="F11" s="135" t="s">
        <v>132</v>
      </c>
      <c r="G11" s="184" t="s">
        <v>165</v>
      </c>
      <c r="H11" s="184" t="s">
        <v>164</v>
      </c>
      <c r="I11" s="184" t="s">
        <v>218</v>
      </c>
    </row>
    <row r="12" spans="2:9" ht="23.85" customHeight="1" x14ac:dyDescent="0.25">
      <c r="B12" s="134"/>
      <c r="C12" s="134"/>
      <c r="D12" s="134"/>
      <c r="E12" s="134"/>
      <c r="F12" s="134"/>
      <c r="G12" s="134"/>
      <c r="H12" s="134"/>
      <c r="I12" s="134"/>
    </row>
    <row r="13" spans="2:9" s="38" customFormat="1" hidden="1" x14ac:dyDescent="0.25">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25">
      <c r="B14" s="18" t="s">
        <v>172</v>
      </c>
      <c r="C14" s="23" t="s">
        <v>9</v>
      </c>
      <c r="D14" s="46" t="str">
        <f>IFERROR(IF(VLOOKUP(C14,PartnerN°Ref,2,FALSE)=0,"",VLOOKUP(C14,PartnerN°Ref,2,FALSE)),"")</f>
        <v>Universidad Industrial de Santander</v>
      </c>
      <c r="E14" s="46" t="str">
        <f>IFERROR(IF(OR(VLOOKUP(C14,PartnerN°Ref,4,FALSE)="Country not found",VLOOKUP(C14,PartnerN°Ref,3,FALSE)=0),"",VLOOKUP(C14,PartnerN°Ref,3,FALSE)),"")</f>
        <v>Colombia</v>
      </c>
      <c r="F14" s="22" t="s">
        <v>379</v>
      </c>
      <c r="G14" s="39">
        <v>15000</v>
      </c>
      <c r="H14" s="40">
        <f>IF(I14="Error",0,ROUND(G14,2))</f>
        <v>15000</v>
      </c>
      <c r="I14" s="37" t="str">
        <f>IF(OR(COUNTIF(WorkPackage,B14)=0,COUNTIF(PartnerN°,C14)=0,D14="",COUNTIF(CountryALL,E14)=0,F14="",ISNUMBER(G14)=FALSE,IF(ISNUMBER(G14)=TRUE,G14=INT(G14*100)/100=FALSE)),"Error","")</f>
        <v/>
      </c>
    </row>
    <row r="15" spans="2:9" s="38" customFormat="1" x14ac:dyDescent="0.25">
      <c r="B15" s="18" t="s">
        <v>172</v>
      </c>
      <c r="C15" s="23" t="s">
        <v>11</v>
      </c>
      <c r="D15" s="46" t="str">
        <f>IFERROR(IF(VLOOKUP(C15,PartnerN°Ref,2,FALSE)=0,"",VLOOKUP(C15,PartnerN°Ref,2,FALSE)),"")</f>
        <v>UNIVERSIDAD SAN FRANCISCO DE QUITO</v>
      </c>
      <c r="E15" s="46" t="str">
        <f>IFERROR(IF(OR(VLOOKUP(C15,PartnerN°Ref,4,FALSE)="Country not found",VLOOKUP(C15,PartnerN°Ref,3,FALSE)=0),"",VLOOKUP(C15,PartnerN°Ref,3,FALSE)),"")</f>
        <v>Ecuador</v>
      </c>
      <c r="F15" s="22" t="s">
        <v>380</v>
      </c>
      <c r="G15" s="39">
        <v>5500</v>
      </c>
      <c r="H15" s="40">
        <f>IF(I15="Error",0,ROUND(G15,2))</f>
        <v>5500</v>
      </c>
      <c r="I15" s="37" t="str">
        <f>IF(OR(COUNTIF(WorkPackage,B15)=0,COUNTIF(PartnerN°,C15)=0,D15="",COUNTIF(CountryALL,E15)=0,F15="",ISNUMBER(G15)=FALSE,IF(ISNUMBER(G15)=TRUE,G15=INT(G15*100)/100=FALSE)),"Error","")</f>
        <v/>
      </c>
    </row>
  </sheetData>
  <sheetProtection password="E359"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246" priority="194" operator="containsText" text="Error">
      <formula>NOT(ISERROR(SEARCH("Error",I13)))</formula>
    </cfRule>
  </conditionalFormatting>
  <conditionalFormatting sqref="D13:E14">
    <cfRule type="containsBlanks" dxfId="245" priority="188">
      <formula>LEN(TRIM(D13))=0</formula>
    </cfRule>
  </conditionalFormatting>
  <conditionalFormatting sqref="G13">
    <cfRule type="cellIs" dxfId="244" priority="13" operator="lessThanOrEqual">
      <formula>0</formula>
    </cfRule>
  </conditionalFormatting>
  <conditionalFormatting sqref="F13:G13">
    <cfRule type="containsBlanks" dxfId="243" priority="10">
      <formula>LEN(TRIM(F13))=0</formula>
    </cfRule>
  </conditionalFormatting>
  <conditionalFormatting sqref="G14">
    <cfRule type="cellIs" dxfId="242" priority="9" operator="lessThanOrEqual">
      <formula>0</formula>
    </cfRule>
  </conditionalFormatting>
  <conditionalFormatting sqref="F14:G14">
    <cfRule type="containsBlanks" dxfId="241" priority="8">
      <formula>LEN(TRIM(F14))=0</formula>
    </cfRule>
  </conditionalFormatting>
  <conditionalFormatting sqref="B13:C13">
    <cfRule type="containsBlanks" dxfId="240" priority="7">
      <formula>LEN(TRIM(B13))=0</formula>
    </cfRule>
  </conditionalFormatting>
  <conditionalFormatting sqref="B14:C14">
    <cfRule type="containsBlanks" dxfId="239" priority="6">
      <formula>LEN(TRIM(B14))=0</formula>
    </cfRule>
  </conditionalFormatting>
  <conditionalFormatting sqref="I15">
    <cfRule type="containsText" dxfId="238" priority="5" operator="containsText" text="Error">
      <formula>NOT(ISERROR(SEARCH("Error",I15)))</formula>
    </cfRule>
  </conditionalFormatting>
  <conditionalFormatting sqref="D15:E15">
    <cfRule type="containsBlanks" dxfId="237" priority="4">
      <formula>LEN(TRIM(D15))=0</formula>
    </cfRule>
  </conditionalFormatting>
  <conditionalFormatting sqref="G15">
    <cfRule type="cellIs" dxfId="236" priority="3" operator="lessThanOrEqual">
      <formula>0</formula>
    </cfRule>
  </conditionalFormatting>
  <conditionalFormatting sqref="F15:G15">
    <cfRule type="containsBlanks" dxfId="235" priority="2">
      <formula>LEN(TRIM(F15))=0</formula>
    </cfRule>
  </conditionalFormatting>
  <conditionalFormatting sqref="B15:C15">
    <cfRule type="containsBlanks" dxfId="234" priority="1">
      <formula>LEN(TRIM(B15))=0</formula>
    </cfRule>
  </conditionalFormatting>
  <dataValidations xWindow="126" yWindow="424" count="4">
    <dataValidation type="custom" allowBlank="1" showInputMessage="1" showErrorMessage="1" error="Format error (2 decimals only)" prompt="Please encode amount (2 decimals only)" sqref="G13:G15">
      <formula1>G13=INT(G13*100)/100</formula1>
    </dataValidation>
    <dataValidation allowBlank="1" showInputMessage="1" showErrorMessage="1" error="Please encode Nature, type and specifications" prompt="Please encode Nature, type and specifications" sqref="F13:F15"/>
    <dataValidation type="list" allowBlank="1" showInputMessage="1" showErrorMessage="1" error="Click arrow to select Work Package" prompt="Click arrow to select Work Package" sqref="B13:B15">
      <formula1>WorkPackage</formula1>
    </dataValidation>
    <dataValidation type="list" allowBlank="1" showInputMessage="1" showErrorMessage="1" error="Click arrow to select Partner N°" prompt="Click arrow to select Partner N°" sqref="C13:C15">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60"/>
  <sheetViews>
    <sheetView showGridLines="0" topLeftCell="B1" zoomScale="70" zoomScaleNormal="70" zoomScaleSheetLayoutView="55" workbookViewId="0">
      <pane ySplit="13" topLeftCell="A14" activePane="bottomLeft" state="frozen"/>
      <selection pane="bottomLeft" activeCell="B56" sqref="B56"/>
    </sheetView>
  </sheetViews>
  <sheetFormatPr baseColWidth="10"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83"/>
      <c r="C1" s="183"/>
      <c r="D1" s="183"/>
      <c r="E1" s="183"/>
      <c r="F1" s="183"/>
      <c r="G1" s="183"/>
      <c r="H1" s="183"/>
      <c r="I1" s="183"/>
      <c r="J1" s="183"/>
    </row>
    <row r="2" spans="2:10" s="24" customFormat="1" ht="39.950000000000003" customHeight="1" x14ac:dyDescent="0.25">
      <c r="B2" s="132" t="s">
        <v>199</v>
      </c>
      <c r="C2" s="132"/>
      <c r="D2" s="132"/>
      <c r="E2" s="132"/>
      <c r="F2" s="132"/>
      <c r="G2" s="132"/>
      <c r="H2" s="132"/>
      <c r="I2" s="132"/>
      <c r="J2" s="132"/>
    </row>
    <row r="3" spans="2:10" s="24" customFormat="1" ht="8.1" customHeight="1" x14ac:dyDescent="0.25">
      <c r="B3" s="151"/>
      <c r="C3" s="152"/>
      <c r="D3" s="152"/>
      <c r="E3" s="152"/>
      <c r="F3" s="152"/>
      <c r="G3" s="152"/>
      <c r="H3" s="152"/>
      <c r="I3" s="152"/>
      <c r="J3" s="153"/>
    </row>
    <row r="4" spans="2:10" s="24" customFormat="1" ht="9.9499999999999993" customHeight="1" x14ac:dyDescent="0.25">
      <c r="B4" s="198" t="s">
        <v>184</v>
      </c>
      <c r="C4" s="195">
        <f>SUM(I:I)</f>
        <v>295100</v>
      </c>
      <c r="D4" s="201"/>
      <c r="E4" s="202"/>
      <c r="F4" s="202"/>
      <c r="G4" s="202"/>
      <c r="H4" s="202"/>
      <c r="I4" s="202"/>
      <c r="J4" s="203"/>
    </row>
    <row r="5" spans="2:10" s="24" customFormat="1" ht="9.9499999999999993" customHeight="1" x14ac:dyDescent="0.25">
      <c r="B5" s="199"/>
      <c r="C5" s="196"/>
      <c r="D5" s="201"/>
      <c r="E5" s="202"/>
      <c r="F5" s="202"/>
      <c r="G5" s="202"/>
      <c r="H5" s="202"/>
      <c r="I5" s="202"/>
      <c r="J5" s="203"/>
    </row>
    <row r="6" spans="2:10" s="24" customFormat="1" ht="9.9499999999999993" customHeight="1" x14ac:dyDescent="0.25">
      <c r="B6" s="199"/>
      <c r="C6" s="196"/>
      <c r="D6" s="201"/>
      <c r="E6" s="202"/>
      <c r="F6" s="202"/>
      <c r="G6" s="202"/>
      <c r="H6" s="202"/>
      <c r="I6" s="202"/>
      <c r="J6" s="203"/>
    </row>
    <row r="7" spans="2:10" s="24" customFormat="1" ht="9.9499999999999993" customHeight="1" x14ac:dyDescent="0.25">
      <c r="B7" s="199"/>
      <c r="C7" s="196"/>
      <c r="D7" s="201"/>
      <c r="E7" s="202"/>
      <c r="F7" s="202"/>
      <c r="G7" s="202"/>
      <c r="H7" s="202"/>
      <c r="I7" s="202"/>
      <c r="J7" s="203"/>
    </row>
    <row r="8" spans="2:10" s="24" customFormat="1" ht="9.9499999999999993" customHeight="1" x14ac:dyDescent="0.25">
      <c r="B8" s="199"/>
      <c r="C8" s="196"/>
      <c r="D8" s="201"/>
      <c r="E8" s="202"/>
      <c r="F8" s="202"/>
      <c r="G8" s="202"/>
      <c r="H8" s="202"/>
      <c r="I8" s="202"/>
      <c r="J8" s="203"/>
    </row>
    <row r="9" spans="2:10" s="24" customFormat="1" ht="9.9499999999999993" customHeight="1" x14ac:dyDescent="0.25">
      <c r="B9" s="200"/>
      <c r="C9" s="197"/>
      <c r="D9" s="201"/>
      <c r="E9" s="202"/>
      <c r="F9" s="202"/>
      <c r="G9" s="202"/>
      <c r="H9" s="202"/>
      <c r="I9" s="202"/>
      <c r="J9" s="203"/>
    </row>
    <row r="10" spans="2:10" s="24" customFormat="1" ht="8.1" customHeight="1" x14ac:dyDescent="0.25">
      <c r="B10" s="143"/>
      <c r="C10" s="150"/>
      <c r="D10" s="150"/>
      <c r="E10" s="150"/>
      <c r="F10" s="150"/>
      <c r="G10" s="150"/>
      <c r="H10" s="150"/>
      <c r="I10" s="150"/>
      <c r="J10" s="144"/>
    </row>
    <row r="11" spans="2:10" s="49" customFormat="1" ht="42" customHeight="1" x14ac:dyDescent="0.25">
      <c r="B11" s="133" t="s">
        <v>147</v>
      </c>
      <c r="C11" s="133" t="s">
        <v>216</v>
      </c>
      <c r="D11" s="133" t="s">
        <v>217</v>
      </c>
      <c r="E11" s="133" t="s">
        <v>188</v>
      </c>
      <c r="F11" s="135" t="s">
        <v>189</v>
      </c>
      <c r="G11" s="135" t="s">
        <v>190</v>
      </c>
      <c r="H11" s="184" t="s">
        <v>165</v>
      </c>
      <c r="I11" s="184" t="s">
        <v>164</v>
      </c>
      <c r="J11" s="184" t="s">
        <v>218</v>
      </c>
    </row>
    <row r="12" spans="2:10" ht="23.85" customHeight="1" x14ac:dyDescent="0.25">
      <c r="B12" s="134"/>
      <c r="C12" s="134"/>
      <c r="D12" s="134"/>
      <c r="E12" s="134"/>
      <c r="F12" s="134"/>
      <c r="G12" s="134"/>
      <c r="H12" s="134"/>
      <c r="I12" s="134"/>
      <c r="J12" s="134"/>
    </row>
    <row r="13" spans="2:10" s="38" customFormat="1" hidden="1" x14ac:dyDescent="0.25">
      <c r="B13" s="23"/>
      <c r="C13" s="46" t="str">
        <f t="shared" ref="C13:C56" si="0">IFERROR(IF(VLOOKUP(B13,PartnerN°Ref,2,FALSE)=0,"",VLOOKUP(B13,PartnerN°Ref,2,FALSE)),"")</f>
        <v/>
      </c>
      <c r="D13" s="46" t="str">
        <f t="shared" ref="D13:D19" si="1">IFERROR(IF(OR(VLOOKUP(B13,PartnerN°Ref,4,FALSE)="Country not found",VLOOKUP(B13,PartnerN°Ref,3,FALSE)=0),"",VLOOKUP(B13,PartnerN°Ref,3,FALSE)),"")</f>
        <v/>
      </c>
      <c r="E13" s="22"/>
      <c r="F13" s="22"/>
      <c r="G13" s="22"/>
      <c r="H13" s="39">
        <v>0</v>
      </c>
      <c r="I13" s="40">
        <f t="shared" ref="I13:I56" si="2">IF(J13="Error",0,ROUND(H13,2))</f>
        <v>0</v>
      </c>
      <c r="J13" s="37" t="str">
        <f t="shared" ref="J13:J19" si="3">IF(OR(COUNTIF(PartnerN°,B13)=0,C13="",COUNTIF(CountryALL,D13)=0,E13="",F13="",G13="",ISNUMBER(H13)=FALSE,IF(ISNUMBER(H13)=TRUE,H13=INT(H13*100)/100=FALSE)),"Error","")</f>
        <v>Error</v>
      </c>
    </row>
    <row r="14" spans="2:10" s="38" customFormat="1" ht="36" x14ac:dyDescent="0.25">
      <c r="B14" s="23" t="s">
        <v>8</v>
      </c>
      <c r="C14" s="46" t="str">
        <f t="shared" si="0"/>
        <v>Université Paris Diderot</v>
      </c>
      <c r="D14" s="46" t="str">
        <f t="shared" si="1"/>
        <v>France</v>
      </c>
      <c r="E14" s="22" t="s">
        <v>372</v>
      </c>
      <c r="F14" s="22" t="s">
        <v>373</v>
      </c>
      <c r="G14" s="22" t="s">
        <v>394</v>
      </c>
      <c r="H14" s="39">
        <v>40000</v>
      </c>
      <c r="I14" s="40">
        <f t="shared" si="2"/>
        <v>40000</v>
      </c>
      <c r="J14" s="37" t="str">
        <f t="shared" si="3"/>
        <v/>
      </c>
    </row>
    <row r="15" spans="2:10" s="38" customFormat="1" ht="36" x14ac:dyDescent="0.25">
      <c r="B15" s="23" t="s">
        <v>9</v>
      </c>
      <c r="C15" s="46" t="str">
        <f t="shared" si="0"/>
        <v>Universidad Industrial de Santander</v>
      </c>
      <c r="D15" s="46" t="str">
        <f t="shared" si="1"/>
        <v>Colombia</v>
      </c>
      <c r="E15" s="22" t="s">
        <v>372</v>
      </c>
      <c r="F15" s="22" t="s">
        <v>373</v>
      </c>
      <c r="G15" s="22" t="s">
        <v>395</v>
      </c>
      <c r="H15" s="39">
        <v>4300</v>
      </c>
      <c r="I15" s="40">
        <f t="shared" si="2"/>
        <v>4300</v>
      </c>
      <c r="J15" s="37" t="str">
        <f t="shared" si="3"/>
        <v/>
      </c>
    </row>
    <row r="16" spans="2:10" s="38" customFormat="1" ht="36" x14ac:dyDescent="0.25">
      <c r="B16" s="23" t="s">
        <v>10</v>
      </c>
      <c r="C16" s="46" t="str">
        <f t="shared" si="0"/>
        <v>UNIVERSIDAD ANTONIO NARINO</v>
      </c>
      <c r="D16" s="46" t="str">
        <f t="shared" si="1"/>
        <v>Colombia</v>
      </c>
      <c r="E16" s="22" t="s">
        <v>372</v>
      </c>
      <c r="F16" s="22" t="s">
        <v>373</v>
      </c>
      <c r="G16" s="22" t="s">
        <v>395</v>
      </c>
      <c r="H16" s="39">
        <v>4300</v>
      </c>
      <c r="I16" s="40">
        <f t="shared" si="2"/>
        <v>4300</v>
      </c>
      <c r="J16" s="37" t="str">
        <f t="shared" si="3"/>
        <v/>
      </c>
    </row>
    <row r="17" spans="2:10" s="38" customFormat="1" ht="36" x14ac:dyDescent="0.25">
      <c r="B17" s="23" t="s">
        <v>11</v>
      </c>
      <c r="C17" s="46" t="str">
        <f t="shared" si="0"/>
        <v>UNIVERSIDAD SAN FRANCISCO DE QUITO</v>
      </c>
      <c r="D17" s="46" t="str">
        <f t="shared" si="1"/>
        <v>Ecuador</v>
      </c>
      <c r="E17" s="22" t="s">
        <v>372</v>
      </c>
      <c r="F17" s="22" t="s">
        <v>373</v>
      </c>
      <c r="G17" s="22" t="s">
        <v>395</v>
      </c>
      <c r="H17" s="39">
        <v>4880</v>
      </c>
      <c r="I17" s="40">
        <f t="shared" si="2"/>
        <v>4880</v>
      </c>
      <c r="J17" s="37" t="str">
        <f t="shared" si="3"/>
        <v/>
      </c>
    </row>
    <row r="18" spans="2:10" s="38" customFormat="1" ht="36" x14ac:dyDescent="0.25">
      <c r="B18" s="23" t="s">
        <v>12</v>
      </c>
      <c r="C18" s="46" t="str">
        <f t="shared" si="0"/>
        <v>UNIVERSIDADDE INVESTIGACIONDE TECNOLOGIA EXPERIMENTAL YACHAY</v>
      </c>
      <c r="D18" s="46" t="str">
        <f t="shared" si="1"/>
        <v>Ecuador</v>
      </c>
      <c r="E18" s="22" t="s">
        <v>372</v>
      </c>
      <c r="F18" s="22" t="s">
        <v>373</v>
      </c>
      <c r="G18" s="22" t="s">
        <v>395</v>
      </c>
      <c r="H18" s="39">
        <v>4880</v>
      </c>
      <c r="I18" s="40">
        <f t="shared" si="2"/>
        <v>4880</v>
      </c>
      <c r="J18" s="37" t="str">
        <f t="shared" si="3"/>
        <v/>
      </c>
    </row>
    <row r="19" spans="2:10" s="38" customFormat="1" ht="36" x14ac:dyDescent="0.25">
      <c r="B19" s="23" t="s">
        <v>13</v>
      </c>
      <c r="C19" s="46" t="str">
        <f t="shared" si="0"/>
        <v>UNIVERSIDAD NACIONAL MAYOR DE SAN MARCOS</v>
      </c>
      <c r="D19" s="46" t="str">
        <f t="shared" si="1"/>
        <v>Peru</v>
      </c>
      <c r="E19" s="22" t="s">
        <v>372</v>
      </c>
      <c r="F19" s="22" t="s">
        <v>373</v>
      </c>
      <c r="G19" s="22" t="s">
        <v>395</v>
      </c>
      <c r="H19" s="39">
        <v>3770</v>
      </c>
      <c r="I19" s="40">
        <f t="shared" si="2"/>
        <v>3770</v>
      </c>
      <c r="J19" s="37" t="str">
        <f t="shared" si="3"/>
        <v/>
      </c>
    </row>
    <row r="20" spans="2:10" s="38" customFormat="1" ht="36" x14ac:dyDescent="0.25">
      <c r="B20" s="23" t="s">
        <v>14</v>
      </c>
      <c r="C20" s="46" t="str">
        <f t="shared" si="0"/>
        <v xml:space="preserve">Universidad Nacional de Ingenieria </v>
      </c>
      <c r="D20" s="46" t="str">
        <f t="shared" ref="D20:D56" si="4">IFERROR(IF(OR(VLOOKUP(B20,PartnerN°Ref,4,FALSE)="Country not found",VLOOKUP(B20,PartnerN°Ref,3,FALSE)=0),"",VLOOKUP(B20,PartnerN°Ref,3,FALSE)),"")</f>
        <v>Peru</v>
      </c>
      <c r="E20" s="22" t="s">
        <v>372</v>
      </c>
      <c r="F20" s="22" t="s">
        <v>373</v>
      </c>
      <c r="G20" s="22" t="s">
        <v>395</v>
      </c>
      <c r="H20" s="39">
        <v>3770</v>
      </c>
      <c r="I20" s="40">
        <f t="shared" si="2"/>
        <v>3770</v>
      </c>
      <c r="J20" s="37" t="str">
        <f t="shared" ref="J20:J56" si="5">IF(OR(COUNTIF(PartnerN°,B20)=0,C20="",COUNTIF(CountryALL,D20)=0,E20="",F20="",G20="",ISNUMBER(H20)=FALSE,IF(ISNUMBER(H20)=TRUE,H20=INT(H20*100)/100=FALSE)),"Error","")</f>
        <v/>
      </c>
    </row>
    <row r="21" spans="2:10" s="38" customFormat="1" ht="36" x14ac:dyDescent="0.25">
      <c r="B21" s="23" t="s">
        <v>15</v>
      </c>
      <c r="C21" s="46" t="str">
        <f t="shared" si="0"/>
        <v>UNIVERSIDAD CENTRAL DE VENEZUELA</v>
      </c>
      <c r="D21" s="46" t="str">
        <f t="shared" si="4"/>
        <v>Venezuela</v>
      </c>
      <c r="E21" s="22" t="s">
        <v>372</v>
      </c>
      <c r="F21" s="22" t="s">
        <v>373</v>
      </c>
      <c r="G21" s="22" t="s">
        <v>395</v>
      </c>
      <c r="H21" s="39">
        <v>89</v>
      </c>
      <c r="I21" s="40">
        <f t="shared" si="2"/>
        <v>89</v>
      </c>
      <c r="J21" s="37" t="str">
        <f t="shared" si="5"/>
        <v/>
      </c>
    </row>
    <row r="22" spans="2:10" s="38" customFormat="1" ht="36" x14ac:dyDescent="0.25">
      <c r="B22" s="23" t="s">
        <v>16</v>
      </c>
      <c r="C22" s="46" t="str">
        <f t="shared" si="0"/>
        <v>UNIVERSIDAD SIMON BOLIVAR</v>
      </c>
      <c r="D22" s="46" t="str">
        <f t="shared" si="4"/>
        <v>Venezuela</v>
      </c>
      <c r="E22" s="22" t="s">
        <v>372</v>
      </c>
      <c r="F22" s="22" t="s">
        <v>373</v>
      </c>
      <c r="G22" s="22" t="s">
        <v>395</v>
      </c>
      <c r="H22" s="39">
        <v>89</v>
      </c>
      <c r="I22" s="40">
        <f t="shared" si="2"/>
        <v>89</v>
      </c>
      <c r="J22" s="37" t="str">
        <f t="shared" si="5"/>
        <v/>
      </c>
    </row>
    <row r="23" spans="2:10" s="38" customFormat="1" ht="36" x14ac:dyDescent="0.25">
      <c r="B23" s="23" t="s">
        <v>17</v>
      </c>
      <c r="C23" s="46" t="str">
        <f t="shared" si="0"/>
        <v>UNIVERSITE PAUL SABATIER TOULOUSE III</v>
      </c>
      <c r="D23" s="46" t="str">
        <f t="shared" si="4"/>
        <v>France</v>
      </c>
      <c r="E23" s="22" t="s">
        <v>372</v>
      </c>
      <c r="F23" s="22" t="s">
        <v>373</v>
      </c>
      <c r="G23" s="22" t="s">
        <v>395</v>
      </c>
      <c r="H23" s="39">
        <v>8000</v>
      </c>
      <c r="I23" s="40">
        <f t="shared" si="2"/>
        <v>8000</v>
      </c>
      <c r="J23" s="37" t="str">
        <f t="shared" si="5"/>
        <v/>
      </c>
    </row>
    <row r="24" spans="2:10" s="38" customFormat="1" ht="36" x14ac:dyDescent="0.25">
      <c r="B24" s="23" t="s">
        <v>18</v>
      </c>
      <c r="C24" s="46" t="str">
        <f t="shared" si="0"/>
        <v>TECHNISCHE UNIVERSITAET DRESDEN</v>
      </c>
      <c r="D24" s="46" t="str">
        <f t="shared" si="4"/>
        <v>Germany</v>
      </c>
      <c r="E24" s="22" t="s">
        <v>372</v>
      </c>
      <c r="F24" s="22" t="s">
        <v>373</v>
      </c>
      <c r="G24" s="22" t="s">
        <v>395</v>
      </c>
      <c r="H24" s="39">
        <v>9000</v>
      </c>
      <c r="I24" s="40">
        <f t="shared" si="2"/>
        <v>9000</v>
      </c>
      <c r="J24" s="37" t="str">
        <f t="shared" si="5"/>
        <v/>
      </c>
    </row>
    <row r="25" spans="2:10" s="38" customFormat="1" ht="36" x14ac:dyDescent="0.25">
      <c r="B25" s="23" t="s">
        <v>9</v>
      </c>
      <c r="C25" s="46" t="str">
        <f t="shared" si="0"/>
        <v>Universidad Industrial de Santander</v>
      </c>
      <c r="D25" s="46" t="str">
        <f t="shared" si="4"/>
        <v>Colombia</v>
      </c>
      <c r="E25" s="22" t="s">
        <v>372</v>
      </c>
      <c r="F25" s="22" t="s">
        <v>373</v>
      </c>
      <c r="G25" s="22" t="s">
        <v>396</v>
      </c>
      <c r="H25" s="39">
        <v>6200</v>
      </c>
      <c r="I25" s="40">
        <f t="shared" si="2"/>
        <v>6200</v>
      </c>
      <c r="J25" s="37" t="str">
        <f t="shared" si="5"/>
        <v/>
      </c>
    </row>
    <row r="26" spans="2:10" s="38" customFormat="1" ht="36" x14ac:dyDescent="0.25">
      <c r="B26" s="23" t="s">
        <v>10</v>
      </c>
      <c r="C26" s="46" t="str">
        <f t="shared" si="0"/>
        <v>UNIVERSIDAD ANTONIO NARINO</v>
      </c>
      <c r="D26" s="46" t="str">
        <f t="shared" si="4"/>
        <v>Colombia</v>
      </c>
      <c r="E26" s="22" t="s">
        <v>372</v>
      </c>
      <c r="F26" s="22" t="s">
        <v>373</v>
      </c>
      <c r="G26" s="22" t="s">
        <v>396</v>
      </c>
      <c r="H26" s="39">
        <v>6200</v>
      </c>
      <c r="I26" s="40">
        <f t="shared" si="2"/>
        <v>6200</v>
      </c>
      <c r="J26" s="37" t="str">
        <f t="shared" si="5"/>
        <v/>
      </c>
    </row>
    <row r="27" spans="2:10" s="38" customFormat="1" ht="36" x14ac:dyDescent="0.25">
      <c r="B27" s="23" t="s">
        <v>11</v>
      </c>
      <c r="C27" s="46" t="str">
        <f t="shared" si="0"/>
        <v>UNIVERSIDAD SAN FRANCISCO DE QUITO</v>
      </c>
      <c r="D27" s="46" t="str">
        <f t="shared" si="4"/>
        <v>Ecuador</v>
      </c>
      <c r="E27" s="22" t="s">
        <v>372</v>
      </c>
      <c r="F27" s="22" t="s">
        <v>373</v>
      </c>
      <c r="G27" s="22" t="s">
        <v>396</v>
      </c>
      <c r="H27" s="39">
        <v>7040</v>
      </c>
      <c r="I27" s="40">
        <f t="shared" si="2"/>
        <v>7040</v>
      </c>
      <c r="J27" s="37" t="str">
        <f t="shared" si="5"/>
        <v/>
      </c>
    </row>
    <row r="28" spans="2:10" s="38" customFormat="1" ht="36" x14ac:dyDescent="0.25">
      <c r="B28" s="23" t="s">
        <v>12</v>
      </c>
      <c r="C28" s="46" t="str">
        <f t="shared" si="0"/>
        <v>UNIVERSIDADDE INVESTIGACIONDE TECNOLOGIA EXPERIMENTAL YACHAY</v>
      </c>
      <c r="D28" s="46" t="str">
        <f t="shared" si="4"/>
        <v>Ecuador</v>
      </c>
      <c r="E28" s="22" t="s">
        <v>372</v>
      </c>
      <c r="F28" s="22" t="s">
        <v>373</v>
      </c>
      <c r="G28" s="22" t="s">
        <v>396</v>
      </c>
      <c r="H28" s="39">
        <v>7040</v>
      </c>
      <c r="I28" s="40">
        <f t="shared" si="2"/>
        <v>7040</v>
      </c>
      <c r="J28" s="37" t="str">
        <f t="shared" si="5"/>
        <v/>
      </c>
    </row>
    <row r="29" spans="2:10" s="38" customFormat="1" ht="36" x14ac:dyDescent="0.25">
      <c r="B29" s="23" t="s">
        <v>13</v>
      </c>
      <c r="C29" s="46" t="str">
        <f t="shared" si="0"/>
        <v>UNIVERSIDAD NACIONAL MAYOR DE SAN MARCOS</v>
      </c>
      <c r="D29" s="46" t="str">
        <f t="shared" si="4"/>
        <v>Peru</v>
      </c>
      <c r="E29" s="22" t="s">
        <v>372</v>
      </c>
      <c r="F29" s="22" t="s">
        <v>373</v>
      </c>
      <c r="G29" s="22" t="s">
        <v>396</v>
      </c>
      <c r="H29" s="39">
        <v>5440</v>
      </c>
      <c r="I29" s="40">
        <f t="shared" si="2"/>
        <v>5440</v>
      </c>
      <c r="J29" s="37" t="str">
        <f t="shared" si="5"/>
        <v/>
      </c>
    </row>
    <row r="30" spans="2:10" s="38" customFormat="1" ht="36" x14ac:dyDescent="0.25">
      <c r="B30" s="23" t="s">
        <v>14</v>
      </c>
      <c r="C30" s="46" t="str">
        <f t="shared" si="0"/>
        <v xml:space="preserve">Universidad Nacional de Ingenieria </v>
      </c>
      <c r="D30" s="46" t="str">
        <f t="shared" si="4"/>
        <v>Peru</v>
      </c>
      <c r="E30" s="22" t="s">
        <v>372</v>
      </c>
      <c r="F30" s="22" t="s">
        <v>373</v>
      </c>
      <c r="G30" s="22" t="s">
        <v>396</v>
      </c>
      <c r="H30" s="39">
        <v>5440</v>
      </c>
      <c r="I30" s="40">
        <f t="shared" si="2"/>
        <v>5440</v>
      </c>
      <c r="J30" s="37" t="str">
        <f t="shared" si="5"/>
        <v/>
      </c>
    </row>
    <row r="31" spans="2:10" s="38" customFormat="1" ht="36" x14ac:dyDescent="0.25">
      <c r="B31" s="23" t="s">
        <v>15</v>
      </c>
      <c r="C31" s="46" t="str">
        <f t="shared" si="0"/>
        <v>UNIVERSIDAD CENTRAL DE VENEZUELA</v>
      </c>
      <c r="D31" s="46" t="str">
        <f t="shared" si="4"/>
        <v>Venezuela</v>
      </c>
      <c r="E31" s="22" t="s">
        <v>372</v>
      </c>
      <c r="F31" s="22" t="s">
        <v>373</v>
      </c>
      <c r="G31" s="22" t="s">
        <v>396</v>
      </c>
      <c r="H31" s="39">
        <v>129</v>
      </c>
      <c r="I31" s="40">
        <f t="shared" si="2"/>
        <v>129</v>
      </c>
      <c r="J31" s="37" t="str">
        <f t="shared" si="5"/>
        <v/>
      </c>
    </row>
    <row r="32" spans="2:10" s="38" customFormat="1" ht="36" x14ac:dyDescent="0.25">
      <c r="B32" s="23" t="s">
        <v>16</v>
      </c>
      <c r="C32" s="46" t="str">
        <f t="shared" si="0"/>
        <v>UNIVERSIDAD SIMON BOLIVAR</v>
      </c>
      <c r="D32" s="46" t="str">
        <f t="shared" si="4"/>
        <v>Venezuela</v>
      </c>
      <c r="E32" s="22" t="s">
        <v>372</v>
      </c>
      <c r="F32" s="22" t="s">
        <v>373</v>
      </c>
      <c r="G32" s="22" t="s">
        <v>396</v>
      </c>
      <c r="H32" s="39">
        <v>129</v>
      </c>
      <c r="I32" s="40">
        <f t="shared" si="2"/>
        <v>129</v>
      </c>
      <c r="J32" s="37" t="str">
        <f t="shared" si="5"/>
        <v/>
      </c>
    </row>
    <row r="33" spans="2:10" s="38" customFormat="1" ht="36" x14ac:dyDescent="0.25">
      <c r="B33" s="23" t="s">
        <v>9</v>
      </c>
      <c r="C33" s="46" t="str">
        <f t="shared" si="0"/>
        <v>Universidad Industrial de Santander</v>
      </c>
      <c r="D33" s="46" t="str">
        <f t="shared" si="4"/>
        <v>Colombia</v>
      </c>
      <c r="E33" s="22" t="s">
        <v>397</v>
      </c>
      <c r="F33" s="22" t="s">
        <v>373</v>
      </c>
      <c r="G33" s="22" t="s">
        <v>400</v>
      </c>
      <c r="H33" s="39">
        <v>1500</v>
      </c>
      <c r="I33" s="40">
        <f t="shared" si="2"/>
        <v>1500</v>
      </c>
      <c r="J33" s="37" t="str">
        <f t="shared" si="5"/>
        <v/>
      </c>
    </row>
    <row r="34" spans="2:10" s="38" customFormat="1" ht="36" x14ac:dyDescent="0.25">
      <c r="B34" s="23" t="s">
        <v>9</v>
      </c>
      <c r="C34" s="46" t="str">
        <f t="shared" si="0"/>
        <v>Universidad Industrial de Santander</v>
      </c>
      <c r="D34" s="46" t="str">
        <f t="shared" si="4"/>
        <v>Colombia</v>
      </c>
      <c r="E34" s="22" t="s">
        <v>398</v>
      </c>
      <c r="F34" s="22" t="s">
        <v>373</v>
      </c>
      <c r="G34" s="22" t="s">
        <v>400</v>
      </c>
      <c r="H34" s="39">
        <v>300</v>
      </c>
      <c r="I34" s="40">
        <f t="shared" si="2"/>
        <v>300</v>
      </c>
      <c r="J34" s="37" t="str">
        <f t="shared" si="5"/>
        <v/>
      </c>
    </row>
    <row r="35" spans="2:10" s="38" customFormat="1" ht="36" x14ac:dyDescent="0.25">
      <c r="B35" s="23" t="s">
        <v>9</v>
      </c>
      <c r="C35" s="46" t="str">
        <f t="shared" si="0"/>
        <v>Universidad Industrial de Santander</v>
      </c>
      <c r="D35" s="46" t="str">
        <f t="shared" si="4"/>
        <v>Colombia</v>
      </c>
      <c r="E35" s="22" t="s">
        <v>399</v>
      </c>
      <c r="F35" s="22" t="s">
        <v>373</v>
      </c>
      <c r="G35" s="22" t="s">
        <v>400</v>
      </c>
      <c r="H35" s="39">
        <v>18800</v>
      </c>
      <c r="I35" s="40">
        <f t="shared" si="2"/>
        <v>18800</v>
      </c>
      <c r="J35" s="37" t="str">
        <f t="shared" si="5"/>
        <v/>
      </c>
    </row>
    <row r="36" spans="2:10" s="38" customFormat="1" ht="36" x14ac:dyDescent="0.25">
      <c r="B36" s="23" t="s">
        <v>10</v>
      </c>
      <c r="C36" s="46" t="str">
        <f t="shared" si="0"/>
        <v>UNIVERSIDAD ANTONIO NARINO</v>
      </c>
      <c r="D36" s="46" t="str">
        <f t="shared" si="4"/>
        <v>Colombia</v>
      </c>
      <c r="E36" s="22" t="s">
        <v>397</v>
      </c>
      <c r="F36" s="22" t="s">
        <v>373</v>
      </c>
      <c r="G36" s="22" t="s">
        <v>400</v>
      </c>
      <c r="H36" s="39">
        <v>1500</v>
      </c>
      <c r="I36" s="40">
        <f t="shared" si="2"/>
        <v>1500</v>
      </c>
      <c r="J36" s="37" t="str">
        <f t="shared" si="5"/>
        <v/>
      </c>
    </row>
    <row r="37" spans="2:10" s="38" customFormat="1" ht="36" x14ac:dyDescent="0.25">
      <c r="B37" s="23" t="s">
        <v>10</v>
      </c>
      <c r="C37" s="46" t="str">
        <f t="shared" si="0"/>
        <v>UNIVERSIDAD ANTONIO NARINO</v>
      </c>
      <c r="D37" s="46" t="str">
        <f t="shared" si="4"/>
        <v>Colombia</v>
      </c>
      <c r="E37" s="22" t="s">
        <v>398</v>
      </c>
      <c r="F37" s="22" t="s">
        <v>373</v>
      </c>
      <c r="G37" s="22" t="s">
        <v>400</v>
      </c>
      <c r="H37" s="39">
        <v>300</v>
      </c>
      <c r="I37" s="40">
        <f t="shared" si="2"/>
        <v>300</v>
      </c>
      <c r="J37" s="37" t="str">
        <f t="shared" si="5"/>
        <v/>
      </c>
    </row>
    <row r="38" spans="2:10" s="38" customFormat="1" ht="36" x14ac:dyDescent="0.25">
      <c r="B38" s="23" t="s">
        <v>10</v>
      </c>
      <c r="C38" s="46" t="str">
        <f t="shared" si="0"/>
        <v>UNIVERSIDAD ANTONIO NARINO</v>
      </c>
      <c r="D38" s="46" t="str">
        <f t="shared" si="4"/>
        <v>Colombia</v>
      </c>
      <c r="E38" s="22" t="s">
        <v>399</v>
      </c>
      <c r="F38" s="22" t="s">
        <v>373</v>
      </c>
      <c r="G38" s="22" t="s">
        <v>400</v>
      </c>
      <c r="H38" s="39">
        <v>18800</v>
      </c>
      <c r="I38" s="40">
        <f t="shared" si="2"/>
        <v>18800</v>
      </c>
      <c r="J38" s="37" t="str">
        <f t="shared" si="5"/>
        <v/>
      </c>
    </row>
    <row r="39" spans="2:10" s="38" customFormat="1" ht="36" x14ac:dyDescent="0.25">
      <c r="B39" s="23" t="s">
        <v>11</v>
      </c>
      <c r="C39" s="46" t="str">
        <f t="shared" si="0"/>
        <v>UNIVERSIDAD SAN FRANCISCO DE QUITO</v>
      </c>
      <c r="D39" s="46" t="str">
        <f t="shared" si="4"/>
        <v>Ecuador</v>
      </c>
      <c r="E39" s="22" t="s">
        <v>397</v>
      </c>
      <c r="F39" s="22" t="s">
        <v>373</v>
      </c>
      <c r="G39" s="22" t="s">
        <v>400</v>
      </c>
      <c r="H39" s="39">
        <v>1500</v>
      </c>
      <c r="I39" s="40">
        <f t="shared" si="2"/>
        <v>1500</v>
      </c>
      <c r="J39" s="37" t="str">
        <f t="shared" si="5"/>
        <v/>
      </c>
    </row>
    <row r="40" spans="2:10" s="38" customFormat="1" ht="36" x14ac:dyDescent="0.25">
      <c r="B40" s="23" t="s">
        <v>11</v>
      </c>
      <c r="C40" s="46" t="str">
        <f t="shared" si="0"/>
        <v>UNIVERSIDAD SAN FRANCISCO DE QUITO</v>
      </c>
      <c r="D40" s="46" t="str">
        <f t="shared" si="4"/>
        <v>Ecuador</v>
      </c>
      <c r="E40" s="22" t="s">
        <v>398</v>
      </c>
      <c r="F40" s="22" t="s">
        <v>373</v>
      </c>
      <c r="G40" s="22" t="s">
        <v>400</v>
      </c>
      <c r="H40" s="39">
        <v>300</v>
      </c>
      <c r="I40" s="40">
        <f t="shared" si="2"/>
        <v>300</v>
      </c>
      <c r="J40" s="37" t="str">
        <f t="shared" si="5"/>
        <v/>
      </c>
    </row>
    <row r="41" spans="2:10" s="38" customFormat="1" ht="36" x14ac:dyDescent="0.25">
      <c r="B41" s="23" t="s">
        <v>11</v>
      </c>
      <c r="C41" s="46" t="str">
        <f t="shared" si="0"/>
        <v>UNIVERSIDAD SAN FRANCISCO DE QUITO</v>
      </c>
      <c r="D41" s="46" t="str">
        <f t="shared" si="4"/>
        <v>Ecuador</v>
      </c>
      <c r="E41" s="22" t="s">
        <v>399</v>
      </c>
      <c r="F41" s="22" t="s">
        <v>373</v>
      </c>
      <c r="G41" s="22" t="s">
        <v>400</v>
      </c>
      <c r="H41" s="39">
        <v>12250</v>
      </c>
      <c r="I41" s="40">
        <f t="shared" si="2"/>
        <v>12250</v>
      </c>
      <c r="J41" s="37" t="str">
        <f t="shared" si="5"/>
        <v/>
      </c>
    </row>
    <row r="42" spans="2:10" s="38" customFormat="1" ht="36" x14ac:dyDescent="0.25">
      <c r="B42" s="23" t="s">
        <v>12</v>
      </c>
      <c r="C42" s="46" t="str">
        <f t="shared" si="0"/>
        <v>UNIVERSIDADDE INVESTIGACIONDE TECNOLOGIA EXPERIMENTAL YACHAY</v>
      </c>
      <c r="D42" s="46" t="str">
        <f t="shared" si="4"/>
        <v>Ecuador</v>
      </c>
      <c r="E42" s="22" t="s">
        <v>397</v>
      </c>
      <c r="F42" s="22" t="s">
        <v>373</v>
      </c>
      <c r="G42" s="22" t="s">
        <v>400</v>
      </c>
      <c r="H42" s="39">
        <v>1500</v>
      </c>
      <c r="I42" s="40">
        <f t="shared" si="2"/>
        <v>1500</v>
      </c>
      <c r="J42" s="37" t="str">
        <f t="shared" si="5"/>
        <v/>
      </c>
    </row>
    <row r="43" spans="2:10" s="38" customFormat="1" ht="36" x14ac:dyDescent="0.25">
      <c r="B43" s="23" t="s">
        <v>12</v>
      </c>
      <c r="C43" s="46" t="str">
        <f t="shared" si="0"/>
        <v>UNIVERSIDADDE INVESTIGACIONDE TECNOLOGIA EXPERIMENTAL YACHAY</v>
      </c>
      <c r="D43" s="46" t="str">
        <f t="shared" si="4"/>
        <v>Ecuador</v>
      </c>
      <c r="E43" s="22" t="s">
        <v>398</v>
      </c>
      <c r="F43" s="22" t="s">
        <v>373</v>
      </c>
      <c r="G43" s="22" t="s">
        <v>400</v>
      </c>
      <c r="H43" s="39">
        <v>300</v>
      </c>
      <c r="I43" s="40">
        <f t="shared" si="2"/>
        <v>300</v>
      </c>
      <c r="J43" s="37" t="str">
        <f t="shared" si="5"/>
        <v/>
      </c>
    </row>
    <row r="44" spans="2:10" s="38" customFormat="1" ht="36" x14ac:dyDescent="0.25">
      <c r="B44" s="23" t="s">
        <v>12</v>
      </c>
      <c r="C44" s="46" t="str">
        <f t="shared" si="0"/>
        <v>UNIVERSIDADDE INVESTIGACIONDE TECNOLOGIA EXPERIMENTAL YACHAY</v>
      </c>
      <c r="D44" s="46" t="str">
        <f t="shared" si="4"/>
        <v>Ecuador</v>
      </c>
      <c r="E44" s="22" t="s">
        <v>399</v>
      </c>
      <c r="F44" s="22" t="s">
        <v>373</v>
      </c>
      <c r="G44" s="22" t="s">
        <v>400</v>
      </c>
      <c r="H44" s="39">
        <v>12250</v>
      </c>
      <c r="I44" s="40">
        <f t="shared" si="2"/>
        <v>12250</v>
      </c>
      <c r="J44" s="37" t="str">
        <f t="shared" si="5"/>
        <v/>
      </c>
    </row>
    <row r="45" spans="2:10" s="38" customFormat="1" ht="36" x14ac:dyDescent="0.25">
      <c r="B45" s="23" t="s">
        <v>13</v>
      </c>
      <c r="C45" s="46" t="str">
        <f t="shared" si="0"/>
        <v>UNIVERSIDAD NACIONAL MAYOR DE SAN MARCOS</v>
      </c>
      <c r="D45" s="46" t="str">
        <f t="shared" si="4"/>
        <v>Peru</v>
      </c>
      <c r="E45" s="22" t="s">
        <v>397</v>
      </c>
      <c r="F45" s="22" t="s">
        <v>373</v>
      </c>
      <c r="G45" s="22" t="s">
        <v>400</v>
      </c>
      <c r="H45" s="39">
        <v>1500</v>
      </c>
      <c r="I45" s="40">
        <f t="shared" si="2"/>
        <v>1500</v>
      </c>
      <c r="J45" s="37" t="str">
        <f t="shared" si="5"/>
        <v/>
      </c>
    </row>
    <row r="46" spans="2:10" s="38" customFormat="1" ht="36" x14ac:dyDescent="0.25">
      <c r="B46" s="23" t="s">
        <v>13</v>
      </c>
      <c r="C46" s="46" t="str">
        <f t="shared" si="0"/>
        <v>UNIVERSIDAD NACIONAL MAYOR DE SAN MARCOS</v>
      </c>
      <c r="D46" s="46" t="str">
        <f t="shared" si="4"/>
        <v>Peru</v>
      </c>
      <c r="E46" s="22" t="s">
        <v>398</v>
      </c>
      <c r="F46" s="22" t="s">
        <v>373</v>
      </c>
      <c r="G46" s="22" t="s">
        <v>400</v>
      </c>
      <c r="H46" s="39">
        <v>30</v>
      </c>
      <c r="I46" s="40">
        <f t="shared" si="2"/>
        <v>30</v>
      </c>
      <c r="J46" s="37" t="str">
        <f t="shared" si="5"/>
        <v/>
      </c>
    </row>
    <row r="47" spans="2:10" s="38" customFormat="1" ht="36" x14ac:dyDescent="0.25">
      <c r="B47" s="23" t="s">
        <v>13</v>
      </c>
      <c r="C47" s="46" t="str">
        <f t="shared" si="0"/>
        <v>UNIVERSIDAD NACIONAL MAYOR DE SAN MARCOS</v>
      </c>
      <c r="D47" s="46" t="str">
        <f t="shared" si="4"/>
        <v>Peru</v>
      </c>
      <c r="E47" s="22" t="s">
        <v>399</v>
      </c>
      <c r="F47" s="22" t="s">
        <v>373</v>
      </c>
      <c r="G47" s="22" t="s">
        <v>400</v>
      </c>
      <c r="H47" s="39">
        <v>20475</v>
      </c>
      <c r="I47" s="40">
        <f t="shared" si="2"/>
        <v>20475</v>
      </c>
      <c r="J47" s="37" t="str">
        <f t="shared" si="5"/>
        <v/>
      </c>
    </row>
    <row r="48" spans="2:10" s="38" customFormat="1" ht="36" x14ac:dyDescent="0.25">
      <c r="B48" s="23" t="s">
        <v>14</v>
      </c>
      <c r="C48" s="46" t="str">
        <f t="shared" si="0"/>
        <v xml:space="preserve">Universidad Nacional de Ingenieria </v>
      </c>
      <c r="D48" s="46" t="str">
        <f t="shared" si="4"/>
        <v>Peru</v>
      </c>
      <c r="E48" s="22" t="s">
        <v>397</v>
      </c>
      <c r="F48" s="22" t="s">
        <v>373</v>
      </c>
      <c r="G48" s="22" t="s">
        <v>400</v>
      </c>
      <c r="H48" s="39">
        <v>1500</v>
      </c>
      <c r="I48" s="40">
        <f t="shared" si="2"/>
        <v>1500</v>
      </c>
      <c r="J48" s="37" t="str">
        <f t="shared" si="5"/>
        <v/>
      </c>
    </row>
    <row r="49" spans="2:10" s="38" customFormat="1" ht="36" x14ac:dyDescent="0.25">
      <c r="B49" s="23" t="s">
        <v>14</v>
      </c>
      <c r="C49" s="46" t="str">
        <f t="shared" si="0"/>
        <v xml:space="preserve">Universidad Nacional de Ingenieria </v>
      </c>
      <c r="D49" s="46" t="str">
        <f t="shared" si="4"/>
        <v>Peru</v>
      </c>
      <c r="E49" s="22" t="s">
        <v>398</v>
      </c>
      <c r="F49" s="22" t="s">
        <v>373</v>
      </c>
      <c r="G49" s="22" t="s">
        <v>400</v>
      </c>
      <c r="H49" s="39">
        <v>300</v>
      </c>
      <c r="I49" s="40">
        <f t="shared" si="2"/>
        <v>300</v>
      </c>
      <c r="J49" s="37" t="str">
        <f t="shared" si="5"/>
        <v/>
      </c>
    </row>
    <row r="50" spans="2:10" s="38" customFormat="1" ht="36" x14ac:dyDescent="0.25">
      <c r="B50" s="23" t="s">
        <v>14</v>
      </c>
      <c r="C50" s="46" t="str">
        <f t="shared" si="0"/>
        <v xml:space="preserve">Universidad Nacional de Ingenieria </v>
      </c>
      <c r="D50" s="46" t="str">
        <f t="shared" si="4"/>
        <v>Peru</v>
      </c>
      <c r="E50" s="22" t="s">
        <v>399</v>
      </c>
      <c r="F50" s="22" t="s">
        <v>373</v>
      </c>
      <c r="G50" s="22" t="s">
        <v>400</v>
      </c>
      <c r="H50" s="39">
        <v>20475</v>
      </c>
      <c r="I50" s="40">
        <f t="shared" si="2"/>
        <v>20475</v>
      </c>
      <c r="J50" s="37" t="str">
        <f t="shared" si="5"/>
        <v/>
      </c>
    </row>
    <row r="51" spans="2:10" s="38" customFormat="1" ht="36" x14ac:dyDescent="0.25">
      <c r="B51" s="23" t="s">
        <v>15</v>
      </c>
      <c r="C51" s="46" t="str">
        <f t="shared" si="0"/>
        <v>UNIVERSIDAD CENTRAL DE VENEZUELA</v>
      </c>
      <c r="D51" s="46" t="str">
        <f t="shared" si="4"/>
        <v>Venezuela</v>
      </c>
      <c r="E51" s="22" t="s">
        <v>397</v>
      </c>
      <c r="F51" s="22" t="s">
        <v>373</v>
      </c>
      <c r="G51" s="22" t="s">
        <v>400</v>
      </c>
      <c r="H51" s="39">
        <v>1500</v>
      </c>
      <c r="I51" s="40">
        <f t="shared" si="2"/>
        <v>1500</v>
      </c>
      <c r="J51" s="37" t="str">
        <f t="shared" si="5"/>
        <v/>
      </c>
    </row>
    <row r="52" spans="2:10" s="38" customFormat="1" ht="36" x14ac:dyDescent="0.25">
      <c r="B52" s="23" t="s">
        <v>15</v>
      </c>
      <c r="C52" s="46" t="str">
        <f t="shared" si="0"/>
        <v>UNIVERSIDAD CENTRAL DE VENEZUELA</v>
      </c>
      <c r="D52" s="46" t="str">
        <f t="shared" si="4"/>
        <v>Venezuela</v>
      </c>
      <c r="E52" s="22" t="s">
        <v>398</v>
      </c>
      <c r="F52" s="22" t="s">
        <v>373</v>
      </c>
      <c r="G52" s="22" t="s">
        <v>400</v>
      </c>
      <c r="H52" s="39">
        <v>300</v>
      </c>
      <c r="I52" s="40">
        <f t="shared" si="2"/>
        <v>300</v>
      </c>
      <c r="J52" s="37" t="str">
        <f t="shared" si="5"/>
        <v/>
      </c>
    </row>
    <row r="53" spans="2:10" s="38" customFormat="1" ht="36" x14ac:dyDescent="0.25">
      <c r="B53" s="23" t="s">
        <v>15</v>
      </c>
      <c r="C53" s="46" t="str">
        <f t="shared" si="0"/>
        <v>UNIVERSIDAD CENTRAL DE VENEZUELA</v>
      </c>
      <c r="D53" s="46" t="str">
        <f t="shared" si="4"/>
        <v>Venezuela</v>
      </c>
      <c r="E53" s="22" t="s">
        <v>399</v>
      </c>
      <c r="F53" s="22" t="s">
        <v>373</v>
      </c>
      <c r="G53" s="22" t="s">
        <v>400</v>
      </c>
      <c r="H53" s="39">
        <v>28612</v>
      </c>
      <c r="I53" s="40">
        <f t="shared" si="2"/>
        <v>28612</v>
      </c>
      <c r="J53" s="37" t="str">
        <f t="shared" si="5"/>
        <v/>
      </c>
    </row>
    <row r="54" spans="2:10" s="38" customFormat="1" ht="36" x14ac:dyDescent="0.25">
      <c r="B54" s="23" t="s">
        <v>16</v>
      </c>
      <c r="C54" s="46" t="str">
        <f t="shared" si="0"/>
        <v>UNIVERSIDAD SIMON BOLIVAR</v>
      </c>
      <c r="D54" s="46" t="str">
        <f t="shared" si="4"/>
        <v>Venezuela</v>
      </c>
      <c r="E54" s="22" t="s">
        <v>397</v>
      </c>
      <c r="F54" s="22" t="s">
        <v>373</v>
      </c>
      <c r="G54" s="22" t="s">
        <v>400</v>
      </c>
      <c r="H54" s="39">
        <v>1500</v>
      </c>
      <c r="I54" s="40">
        <f t="shared" si="2"/>
        <v>1500</v>
      </c>
      <c r="J54" s="37" t="str">
        <f t="shared" si="5"/>
        <v/>
      </c>
    </row>
    <row r="55" spans="2:10" s="38" customFormat="1" ht="36" x14ac:dyDescent="0.25">
      <c r="B55" s="23" t="s">
        <v>16</v>
      </c>
      <c r="C55" s="46" t="str">
        <f t="shared" si="0"/>
        <v>UNIVERSIDAD SIMON BOLIVAR</v>
      </c>
      <c r="D55" s="46" t="str">
        <f t="shared" si="4"/>
        <v>Venezuela</v>
      </c>
      <c r="E55" s="22" t="s">
        <v>398</v>
      </c>
      <c r="F55" s="22" t="s">
        <v>373</v>
      </c>
      <c r="G55" s="22" t="s">
        <v>400</v>
      </c>
      <c r="H55" s="39">
        <v>300</v>
      </c>
      <c r="I55" s="40">
        <f t="shared" si="2"/>
        <v>300</v>
      </c>
      <c r="J55" s="37" t="str">
        <f t="shared" si="5"/>
        <v/>
      </c>
    </row>
    <row r="56" spans="2:10" s="38" customFormat="1" ht="36" x14ac:dyDescent="0.25">
      <c r="B56" s="23" t="s">
        <v>16</v>
      </c>
      <c r="C56" s="46" t="str">
        <f t="shared" si="0"/>
        <v>UNIVERSIDAD SIMON BOLIVAR</v>
      </c>
      <c r="D56" s="46" t="str">
        <f t="shared" si="4"/>
        <v>Venezuela</v>
      </c>
      <c r="E56" s="22" t="s">
        <v>399</v>
      </c>
      <c r="F56" s="22" t="s">
        <v>373</v>
      </c>
      <c r="G56" s="22" t="s">
        <v>400</v>
      </c>
      <c r="H56" s="39">
        <v>28612</v>
      </c>
      <c r="I56" s="40">
        <f t="shared" si="2"/>
        <v>28612</v>
      </c>
      <c r="J56" s="37" t="str">
        <f t="shared" si="5"/>
        <v/>
      </c>
    </row>
    <row r="58" spans="2:10" x14ac:dyDescent="0.25">
      <c r="B58" s="43" t="s">
        <v>219</v>
      </c>
    </row>
    <row r="59" spans="2:10" x14ac:dyDescent="0.25">
      <c r="B59" s="43" t="s">
        <v>220</v>
      </c>
    </row>
    <row r="60" spans="2:10" x14ac:dyDescent="0.25">
      <c r="B60" s="43" t="s">
        <v>221</v>
      </c>
    </row>
  </sheetData>
  <sheetProtection password="E359"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3" priority="419" operator="containsText" text="Error">
      <formula>NOT(ISERROR(SEARCH("Error",J13)))</formula>
    </cfRule>
  </conditionalFormatting>
  <conditionalFormatting sqref="C13:D14">
    <cfRule type="containsBlanks" dxfId="232" priority="412">
      <formula>LEN(TRIM(C13))=0</formula>
    </cfRule>
  </conditionalFormatting>
  <conditionalFormatting sqref="H13">
    <cfRule type="cellIs" dxfId="231" priority="283" operator="lessThanOrEqual">
      <formula>0</formula>
    </cfRule>
  </conditionalFormatting>
  <conditionalFormatting sqref="E13:H13 F33:F51 G34:G51 F54:G56">
    <cfRule type="containsBlanks" dxfId="230" priority="280">
      <formula>LEN(TRIM(E13))=0</formula>
    </cfRule>
  </conditionalFormatting>
  <conditionalFormatting sqref="H14">
    <cfRule type="cellIs" dxfId="229" priority="279" operator="lessThanOrEqual">
      <formula>0</formula>
    </cfRule>
  </conditionalFormatting>
  <conditionalFormatting sqref="E14:H14 E15:F32">
    <cfRule type="containsBlanks" dxfId="228" priority="278">
      <formula>LEN(TRIM(E14))=0</formula>
    </cfRule>
  </conditionalFormatting>
  <conditionalFormatting sqref="B13">
    <cfRule type="containsBlanks" dxfId="227" priority="277">
      <formula>LEN(TRIM(B13))=0</formula>
    </cfRule>
  </conditionalFormatting>
  <conditionalFormatting sqref="B14">
    <cfRule type="containsBlanks" dxfId="226" priority="276">
      <formula>LEN(TRIM(B14))=0</formula>
    </cfRule>
  </conditionalFormatting>
  <conditionalFormatting sqref="J15">
    <cfRule type="containsText" dxfId="225" priority="275" operator="containsText" text="Error">
      <formula>NOT(ISERROR(SEARCH("Error",J15)))</formula>
    </cfRule>
  </conditionalFormatting>
  <conditionalFormatting sqref="C15:D15">
    <cfRule type="containsBlanks" dxfId="224" priority="274">
      <formula>LEN(TRIM(C15))=0</formula>
    </cfRule>
  </conditionalFormatting>
  <conditionalFormatting sqref="H15">
    <cfRule type="cellIs" dxfId="223" priority="273" operator="lessThanOrEqual">
      <formula>0</formula>
    </cfRule>
  </conditionalFormatting>
  <conditionalFormatting sqref="G15:H15 G16:G24">
    <cfRule type="containsBlanks" dxfId="222" priority="272">
      <formula>LEN(TRIM(G15))=0</formula>
    </cfRule>
  </conditionalFormatting>
  <conditionalFormatting sqref="B15">
    <cfRule type="containsBlanks" dxfId="221" priority="271">
      <formula>LEN(TRIM(B15))=0</formula>
    </cfRule>
  </conditionalFormatting>
  <conditionalFormatting sqref="J16">
    <cfRule type="containsText" dxfId="220" priority="270" operator="containsText" text="Error">
      <formula>NOT(ISERROR(SEARCH("Error",J16)))</formula>
    </cfRule>
  </conditionalFormatting>
  <conditionalFormatting sqref="C16:D16">
    <cfRule type="containsBlanks" dxfId="219" priority="269">
      <formula>LEN(TRIM(C16))=0</formula>
    </cfRule>
  </conditionalFormatting>
  <conditionalFormatting sqref="H16">
    <cfRule type="cellIs" dxfId="218" priority="268" operator="lessThanOrEqual">
      <formula>0</formula>
    </cfRule>
  </conditionalFormatting>
  <conditionalFormatting sqref="H16">
    <cfRule type="containsBlanks" dxfId="217" priority="267">
      <formula>LEN(TRIM(H16))=0</formula>
    </cfRule>
  </conditionalFormatting>
  <conditionalFormatting sqref="B16">
    <cfRule type="containsBlanks" dxfId="216" priority="266">
      <formula>LEN(TRIM(B16))=0</formula>
    </cfRule>
  </conditionalFormatting>
  <conditionalFormatting sqref="J17">
    <cfRule type="containsText" dxfId="215" priority="265" operator="containsText" text="Error">
      <formula>NOT(ISERROR(SEARCH("Error",J17)))</formula>
    </cfRule>
  </conditionalFormatting>
  <conditionalFormatting sqref="C17:D17">
    <cfRule type="containsBlanks" dxfId="214" priority="264">
      <formula>LEN(TRIM(C17))=0</formula>
    </cfRule>
  </conditionalFormatting>
  <conditionalFormatting sqref="H17">
    <cfRule type="cellIs" dxfId="213" priority="263" operator="lessThanOrEqual">
      <formula>0</formula>
    </cfRule>
  </conditionalFormatting>
  <conditionalFormatting sqref="H17">
    <cfRule type="containsBlanks" dxfId="212" priority="262">
      <formula>LEN(TRIM(H17))=0</formula>
    </cfRule>
  </conditionalFormatting>
  <conditionalFormatting sqref="B17">
    <cfRule type="containsBlanks" dxfId="211" priority="261">
      <formula>LEN(TRIM(B17))=0</formula>
    </cfRule>
  </conditionalFormatting>
  <conditionalFormatting sqref="J18">
    <cfRule type="containsText" dxfId="210" priority="260" operator="containsText" text="Error">
      <formula>NOT(ISERROR(SEARCH("Error",J18)))</formula>
    </cfRule>
  </conditionalFormatting>
  <conditionalFormatting sqref="C18:D18">
    <cfRule type="containsBlanks" dxfId="209" priority="259">
      <formula>LEN(TRIM(C18))=0</formula>
    </cfRule>
  </conditionalFormatting>
  <conditionalFormatting sqref="H18">
    <cfRule type="cellIs" dxfId="208" priority="258" operator="lessThanOrEqual">
      <formula>0</formula>
    </cfRule>
  </conditionalFormatting>
  <conditionalFormatting sqref="H18">
    <cfRule type="containsBlanks" dxfId="207" priority="257">
      <formula>LEN(TRIM(H18))=0</formula>
    </cfRule>
  </conditionalFormatting>
  <conditionalFormatting sqref="B18">
    <cfRule type="containsBlanks" dxfId="206" priority="256">
      <formula>LEN(TRIM(B18))=0</formula>
    </cfRule>
  </conditionalFormatting>
  <conditionalFormatting sqref="J19">
    <cfRule type="containsText" dxfId="205" priority="255" operator="containsText" text="Error">
      <formula>NOT(ISERROR(SEARCH("Error",J19)))</formula>
    </cfRule>
  </conditionalFormatting>
  <conditionalFormatting sqref="C19:D19">
    <cfRule type="containsBlanks" dxfId="204" priority="254">
      <formula>LEN(TRIM(C19))=0</formula>
    </cfRule>
  </conditionalFormatting>
  <conditionalFormatting sqref="H19">
    <cfRule type="cellIs" dxfId="203" priority="253" operator="lessThanOrEqual">
      <formula>0</formula>
    </cfRule>
  </conditionalFormatting>
  <conditionalFormatting sqref="H19">
    <cfRule type="containsBlanks" dxfId="202" priority="252">
      <formula>LEN(TRIM(H19))=0</formula>
    </cfRule>
  </conditionalFormatting>
  <conditionalFormatting sqref="B19">
    <cfRule type="containsBlanks" dxfId="201" priority="251">
      <formula>LEN(TRIM(B19))=0</formula>
    </cfRule>
  </conditionalFormatting>
  <conditionalFormatting sqref="J20">
    <cfRule type="containsText" dxfId="200" priority="250" operator="containsText" text="Error">
      <formula>NOT(ISERROR(SEARCH("Error",J20)))</formula>
    </cfRule>
  </conditionalFormatting>
  <conditionalFormatting sqref="C20:D20">
    <cfRule type="containsBlanks" dxfId="199" priority="249">
      <formula>LEN(TRIM(C20))=0</formula>
    </cfRule>
  </conditionalFormatting>
  <conditionalFormatting sqref="H20">
    <cfRule type="cellIs" dxfId="198" priority="248" operator="lessThanOrEqual">
      <formula>0</formula>
    </cfRule>
  </conditionalFormatting>
  <conditionalFormatting sqref="H20">
    <cfRule type="containsBlanks" dxfId="197" priority="247">
      <formula>LEN(TRIM(H20))=0</formula>
    </cfRule>
  </conditionalFormatting>
  <conditionalFormatting sqref="B20">
    <cfRule type="containsBlanks" dxfId="196" priority="246">
      <formula>LEN(TRIM(B20))=0</formula>
    </cfRule>
  </conditionalFormatting>
  <conditionalFormatting sqref="J21">
    <cfRule type="containsText" dxfId="195" priority="245" operator="containsText" text="Error">
      <formula>NOT(ISERROR(SEARCH("Error",J21)))</formula>
    </cfRule>
  </conditionalFormatting>
  <conditionalFormatting sqref="C21:D21">
    <cfRule type="containsBlanks" dxfId="194" priority="244">
      <formula>LEN(TRIM(C21))=0</formula>
    </cfRule>
  </conditionalFormatting>
  <conditionalFormatting sqref="H21">
    <cfRule type="cellIs" dxfId="193" priority="243" operator="lessThanOrEqual">
      <formula>0</formula>
    </cfRule>
  </conditionalFormatting>
  <conditionalFormatting sqref="H21">
    <cfRule type="containsBlanks" dxfId="192" priority="242">
      <formula>LEN(TRIM(H21))=0</formula>
    </cfRule>
  </conditionalFormatting>
  <conditionalFormatting sqref="B21">
    <cfRule type="containsBlanks" dxfId="191" priority="241">
      <formula>LEN(TRIM(B21))=0</formula>
    </cfRule>
  </conditionalFormatting>
  <conditionalFormatting sqref="J22">
    <cfRule type="containsText" dxfId="190" priority="240" operator="containsText" text="Error">
      <formula>NOT(ISERROR(SEARCH("Error",J22)))</formula>
    </cfRule>
  </conditionalFormatting>
  <conditionalFormatting sqref="C22:D22">
    <cfRule type="containsBlanks" dxfId="189" priority="239">
      <formula>LEN(TRIM(C22))=0</formula>
    </cfRule>
  </conditionalFormatting>
  <conditionalFormatting sqref="H22">
    <cfRule type="cellIs" dxfId="188" priority="238" operator="lessThanOrEqual">
      <formula>0</formula>
    </cfRule>
  </conditionalFormatting>
  <conditionalFormatting sqref="H22">
    <cfRule type="containsBlanks" dxfId="187" priority="237">
      <formula>LEN(TRIM(H22))=0</formula>
    </cfRule>
  </conditionalFormatting>
  <conditionalFormatting sqref="B22">
    <cfRule type="containsBlanks" dxfId="186" priority="236">
      <formula>LEN(TRIM(B22))=0</formula>
    </cfRule>
  </conditionalFormatting>
  <conditionalFormatting sqref="J23">
    <cfRule type="containsText" dxfId="185" priority="235" operator="containsText" text="Error">
      <formula>NOT(ISERROR(SEARCH("Error",J23)))</formula>
    </cfRule>
  </conditionalFormatting>
  <conditionalFormatting sqref="C23:D23">
    <cfRule type="containsBlanks" dxfId="184" priority="234">
      <formula>LEN(TRIM(C23))=0</formula>
    </cfRule>
  </conditionalFormatting>
  <conditionalFormatting sqref="H23">
    <cfRule type="cellIs" dxfId="183" priority="233" operator="lessThanOrEqual">
      <formula>0</formula>
    </cfRule>
  </conditionalFormatting>
  <conditionalFormatting sqref="H23">
    <cfRule type="containsBlanks" dxfId="182" priority="232">
      <formula>LEN(TRIM(H23))=0</formula>
    </cfRule>
  </conditionalFormatting>
  <conditionalFormatting sqref="B23">
    <cfRule type="containsBlanks" dxfId="181" priority="231">
      <formula>LEN(TRIM(B23))=0</formula>
    </cfRule>
  </conditionalFormatting>
  <conditionalFormatting sqref="J24">
    <cfRule type="containsText" dxfId="180" priority="230" operator="containsText" text="Error">
      <formula>NOT(ISERROR(SEARCH("Error",J24)))</formula>
    </cfRule>
  </conditionalFormatting>
  <conditionalFormatting sqref="C24:D24">
    <cfRule type="containsBlanks" dxfId="179" priority="229">
      <formula>LEN(TRIM(C24))=0</formula>
    </cfRule>
  </conditionalFormatting>
  <conditionalFormatting sqref="H24">
    <cfRule type="cellIs" dxfId="178" priority="228" operator="lessThanOrEqual">
      <formula>0</formula>
    </cfRule>
  </conditionalFormatting>
  <conditionalFormatting sqref="H24">
    <cfRule type="containsBlanks" dxfId="177" priority="227">
      <formula>LEN(TRIM(H24))=0</formula>
    </cfRule>
  </conditionalFormatting>
  <conditionalFormatting sqref="B24">
    <cfRule type="containsBlanks" dxfId="176" priority="226">
      <formula>LEN(TRIM(B24))=0</formula>
    </cfRule>
  </conditionalFormatting>
  <conditionalFormatting sqref="J25">
    <cfRule type="containsText" dxfId="175" priority="225" operator="containsText" text="Error">
      <formula>NOT(ISERROR(SEARCH("Error",J25)))</formula>
    </cfRule>
  </conditionalFormatting>
  <conditionalFormatting sqref="C25:D25">
    <cfRule type="containsBlanks" dxfId="174" priority="224">
      <formula>LEN(TRIM(C25))=0</formula>
    </cfRule>
  </conditionalFormatting>
  <conditionalFormatting sqref="H25">
    <cfRule type="cellIs" dxfId="173" priority="223" operator="lessThanOrEqual">
      <formula>0</formula>
    </cfRule>
  </conditionalFormatting>
  <conditionalFormatting sqref="G25:H25 G26:G32">
    <cfRule type="containsBlanks" dxfId="172" priority="222">
      <formula>LEN(TRIM(G25))=0</formula>
    </cfRule>
  </conditionalFormatting>
  <conditionalFormatting sqref="B25">
    <cfRule type="containsBlanks" dxfId="171" priority="221">
      <formula>LEN(TRIM(B25))=0</formula>
    </cfRule>
  </conditionalFormatting>
  <conditionalFormatting sqref="J26">
    <cfRule type="containsText" dxfId="170" priority="220" operator="containsText" text="Error">
      <formula>NOT(ISERROR(SEARCH("Error",J26)))</formula>
    </cfRule>
  </conditionalFormatting>
  <conditionalFormatting sqref="C26:D26">
    <cfRule type="containsBlanks" dxfId="169" priority="219">
      <formula>LEN(TRIM(C26))=0</formula>
    </cfRule>
  </conditionalFormatting>
  <conditionalFormatting sqref="H26">
    <cfRule type="cellIs" dxfId="168" priority="218" operator="lessThanOrEqual">
      <formula>0</formula>
    </cfRule>
  </conditionalFormatting>
  <conditionalFormatting sqref="H26">
    <cfRule type="containsBlanks" dxfId="167" priority="217">
      <formula>LEN(TRIM(H26))=0</formula>
    </cfRule>
  </conditionalFormatting>
  <conditionalFormatting sqref="B26">
    <cfRule type="containsBlanks" dxfId="166" priority="216">
      <formula>LEN(TRIM(B26))=0</formula>
    </cfRule>
  </conditionalFormatting>
  <conditionalFormatting sqref="J27">
    <cfRule type="containsText" dxfId="165" priority="215" operator="containsText" text="Error">
      <formula>NOT(ISERROR(SEARCH("Error",J27)))</formula>
    </cfRule>
  </conditionalFormatting>
  <conditionalFormatting sqref="C27:D27">
    <cfRule type="containsBlanks" dxfId="164" priority="214">
      <formula>LEN(TRIM(C27))=0</formula>
    </cfRule>
  </conditionalFormatting>
  <conditionalFormatting sqref="H27">
    <cfRule type="cellIs" dxfId="163" priority="213" operator="lessThanOrEqual">
      <formula>0</formula>
    </cfRule>
  </conditionalFormatting>
  <conditionalFormatting sqref="H27">
    <cfRule type="containsBlanks" dxfId="162" priority="212">
      <formula>LEN(TRIM(H27))=0</formula>
    </cfRule>
  </conditionalFormatting>
  <conditionalFormatting sqref="B27">
    <cfRule type="containsBlanks" dxfId="161" priority="211">
      <formula>LEN(TRIM(B27))=0</formula>
    </cfRule>
  </conditionalFormatting>
  <conditionalFormatting sqref="J28">
    <cfRule type="containsText" dxfId="160" priority="210" operator="containsText" text="Error">
      <formula>NOT(ISERROR(SEARCH("Error",J28)))</formula>
    </cfRule>
  </conditionalFormatting>
  <conditionalFormatting sqref="C28:D28">
    <cfRule type="containsBlanks" dxfId="159" priority="209">
      <formula>LEN(TRIM(C28))=0</formula>
    </cfRule>
  </conditionalFormatting>
  <conditionalFormatting sqref="H28">
    <cfRule type="cellIs" dxfId="158" priority="208" operator="lessThanOrEqual">
      <formula>0</formula>
    </cfRule>
  </conditionalFormatting>
  <conditionalFormatting sqref="H28">
    <cfRule type="containsBlanks" dxfId="157" priority="207">
      <formula>LEN(TRIM(H28))=0</formula>
    </cfRule>
  </conditionalFormatting>
  <conditionalFormatting sqref="B28">
    <cfRule type="containsBlanks" dxfId="156" priority="206">
      <formula>LEN(TRIM(B28))=0</formula>
    </cfRule>
  </conditionalFormatting>
  <conditionalFormatting sqref="J29">
    <cfRule type="containsText" dxfId="155" priority="205" operator="containsText" text="Error">
      <formula>NOT(ISERROR(SEARCH("Error",J29)))</formula>
    </cfRule>
  </conditionalFormatting>
  <conditionalFormatting sqref="C29:D29">
    <cfRule type="containsBlanks" dxfId="154" priority="204">
      <formula>LEN(TRIM(C29))=0</formula>
    </cfRule>
  </conditionalFormatting>
  <conditionalFormatting sqref="H29">
    <cfRule type="cellIs" dxfId="153" priority="203" operator="lessThanOrEqual">
      <formula>0</formula>
    </cfRule>
  </conditionalFormatting>
  <conditionalFormatting sqref="H29">
    <cfRule type="containsBlanks" dxfId="152" priority="202">
      <formula>LEN(TRIM(H29))=0</formula>
    </cfRule>
  </conditionalFormatting>
  <conditionalFormatting sqref="B29">
    <cfRule type="containsBlanks" dxfId="151" priority="201">
      <formula>LEN(TRIM(B29))=0</formula>
    </cfRule>
  </conditionalFormatting>
  <conditionalFormatting sqref="J30">
    <cfRule type="containsText" dxfId="150" priority="200" operator="containsText" text="Error">
      <formula>NOT(ISERROR(SEARCH("Error",J30)))</formula>
    </cfRule>
  </conditionalFormatting>
  <conditionalFormatting sqref="C30:D30">
    <cfRule type="containsBlanks" dxfId="149" priority="199">
      <formula>LEN(TRIM(C30))=0</formula>
    </cfRule>
  </conditionalFormatting>
  <conditionalFormatting sqref="H30">
    <cfRule type="cellIs" dxfId="148" priority="198" operator="lessThanOrEqual">
      <formula>0</formula>
    </cfRule>
  </conditionalFormatting>
  <conditionalFormatting sqref="H30">
    <cfRule type="containsBlanks" dxfId="147" priority="197">
      <formula>LEN(TRIM(H30))=0</formula>
    </cfRule>
  </conditionalFormatting>
  <conditionalFormatting sqref="B30">
    <cfRule type="containsBlanks" dxfId="146" priority="196">
      <formula>LEN(TRIM(B30))=0</formula>
    </cfRule>
  </conditionalFormatting>
  <conditionalFormatting sqref="J31">
    <cfRule type="containsText" dxfId="145" priority="195" operator="containsText" text="Error">
      <formula>NOT(ISERROR(SEARCH("Error",J31)))</formula>
    </cfRule>
  </conditionalFormatting>
  <conditionalFormatting sqref="C31:D31">
    <cfRule type="containsBlanks" dxfId="144" priority="194">
      <formula>LEN(TRIM(C31))=0</formula>
    </cfRule>
  </conditionalFormatting>
  <conditionalFormatting sqref="H31">
    <cfRule type="cellIs" dxfId="143" priority="193" operator="lessThanOrEqual">
      <formula>0</formula>
    </cfRule>
  </conditionalFormatting>
  <conditionalFormatting sqref="H31">
    <cfRule type="containsBlanks" dxfId="142" priority="192">
      <formula>LEN(TRIM(H31))=0</formula>
    </cfRule>
  </conditionalFormatting>
  <conditionalFormatting sqref="B31">
    <cfRule type="containsBlanks" dxfId="141" priority="191">
      <formula>LEN(TRIM(B31))=0</formula>
    </cfRule>
  </conditionalFormatting>
  <conditionalFormatting sqref="J32">
    <cfRule type="containsText" dxfId="140" priority="190" operator="containsText" text="Error">
      <formula>NOT(ISERROR(SEARCH("Error",J32)))</formula>
    </cfRule>
  </conditionalFormatting>
  <conditionalFormatting sqref="C32:D32">
    <cfRule type="containsBlanks" dxfId="139" priority="189">
      <formula>LEN(TRIM(C32))=0</formula>
    </cfRule>
  </conditionalFormatting>
  <conditionalFormatting sqref="H32">
    <cfRule type="cellIs" dxfId="138" priority="188" operator="lessThanOrEqual">
      <formula>0</formula>
    </cfRule>
  </conditionalFormatting>
  <conditionalFormatting sqref="H32">
    <cfRule type="containsBlanks" dxfId="137" priority="187">
      <formula>LEN(TRIM(H32))=0</formula>
    </cfRule>
  </conditionalFormatting>
  <conditionalFormatting sqref="B32">
    <cfRule type="containsBlanks" dxfId="136" priority="186">
      <formula>LEN(TRIM(B32))=0</formula>
    </cfRule>
  </conditionalFormatting>
  <conditionalFormatting sqref="J33">
    <cfRule type="containsText" dxfId="135" priority="185" operator="containsText" text="Error">
      <formula>NOT(ISERROR(SEARCH("Error",J33)))</formula>
    </cfRule>
  </conditionalFormatting>
  <conditionalFormatting sqref="C33:D33">
    <cfRule type="containsBlanks" dxfId="134" priority="184">
      <formula>LEN(TRIM(C33))=0</formula>
    </cfRule>
  </conditionalFormatting>
  <conditionalFormatting sqref="H33">
    <cfRule type="cellIs" dxfId="133" priority="183" operator="lessThanOrEqual">
      <formula>0</formula>
    </cfRule>
  </conditionalFormatting>
  <conditionalFormatting sqref="E33 G33:H33">
    <cfRule type="containsBlanks" dxfId="132" priority="182">
      <formula>LEN(TRIM(E33))=0</formula>
    </cfRule>
  </conditionalFormatting>
  <conditionalFormatting sqref="B33">
    <cfRule type="containsBlanks" dxfId="131" priority="181">
      <formula>LEN(TRIM(B33))=0</formula>
    </cfRule>
  </conditionalFormatting>
  <conditionalFormatting sqref="J34">
    <cfRule type="containsText" dxfId="130" priority="180" operator="containsText" text="Error">
      <formula>NOT(ISERROR(SEARCH("Error",J34)))</formula>
    </cfRule>
  </conditionalFormatting>
  <conditionalFormatting sqref="C34:D34">
    <cfRule type="containsBlanks" dxfId="129" priority="179">
      <formula>LEN(TRIM(C34))=0</formula>
    </cfRule>
  </conditionalFormatting>
  <conditionalFormatting sqref="H34">
    <cfRule type="cellIs" dxfId="128" priority="178" operator="lessThanOrEqual">
      <formula>0</formula>
    </cfRule>
  </conditionalFormatting>
  <conditionalFormatting sqref="E34 H34">
    <cfRule type="containsBlanks" dxfId="127" priority="177">
      <formula>LEN(TRIM(E34))=0</formula>
    </cfRule>
  </conditionalFormatting>
  <conditionalFormatting sqref="B34">
    <cfRule type="containsBlanks" dxfId="126" priority="176">
      <formula>LEN(TRIM(B34))=0</formula>
    </cfRule>
  </conditionalFormatting>
  <conditionalFormatting sqref="J35">
    <cfRule type="containsText" dxfId="125" priority="175" operator="containsText" text="Error">
      <formula>NOT(ISERROR(SEARCH("Error",J35)))</formula>
    </cfRule>
  </conditionalFormatting>
  <conditionalFormatting sqref="C35:D35">
    <cfRule type="containsBlanks" dxfId="124" priority="174">
      <formula>LEN(TRIM(C35))=0</formula>
    </cfRule>
  </conditionalFormatting>
  <conditionalFormatting sqref="H35">
    <cfRule type="cellIs" dxfId="123" priority="173" operator="lessThanOrEqual">
      <formula>0</formula>
    </cfRule>
  </conditionalFormatting>
  <conditionalFormatting sqref="E35 H35">
    <cfRule type="containsBlanks" dxfId="122" priority="172">
      <formula>LEN(TRIM(E35))=0</formula>
    </cfRule>
  </conditionalFormatting>
  <conditionalFormatting sqref="B35">
    <cfRule type="containsBlanks" dxfId="121" priority="171">
      <formula>LEN(TRIM(B35))=0</formula>
    </cfRule>
  </conditionalFormatting>
  <conditionalFormatting sqref="J36">
    <cfRule type="containsText" dxfId="120" priority="165" operator="containsText" text="Error">
      <formula>NOT(ISERROR(SEARCH("Error",J36)))</formula>
    </cfRule>
  </conditionalFormatting>
  <conditionalFormatting sqref="C36:D36">
    <cfRule type="containsBlanks" dxfId="119" priority="164">
      <formula>LEN(TRIM(C36))=0</formula>
    </cfRule>
  </conditionalFormatting>
  <conditionalFormatting sqref="H36">
    <cfRule type="cellIs" dxfId="118" priority="163" operator="lessThanOrEqual">
      <formula>0</formula>
    </cfRule>
  </conditionalFormatting>
  <conditionalFormatting sqref="E36 H36">
    <cfRule type="containsBlanks" dxfId="117" priority="162">
      <formula>LEN(TRIM(E36))=0</formula>
    </cfRule>
  </conditionalFormatting>
  <conditionalFormatting sqref="B36">
    <cfRule type="containsBlanks" dxfId="116" priority="161">
      <formula>LEN(TRIM(B36))=0</formula>
    </cfRule>
  </conditionalFormatting>
  <conditionalFormatting sqref="J37">
    <cfRule type="containsText" dxfId="115" priority="160" operator="containsText" text="Error">
      <formula>NOT(ISERROR(SEARCH("Error",J37)))</formula>
    </cfRule>
  </conditionalFormatting>
  <conditionalFormatting sqref="C37:D37">
    <cfRule type="containsBlanks" dxfId="114" priority="159">
      <formula>LEN(TRIM(C37))=0</formula>
    </cfRule>
  </conditionalFormatting>
  <conditionalFormatting sqref="H37">
    <cfRule type="cellIs" dxfId="113" priority="158" operator="lessThanOrEqual">
      <formula>0</formula>
    </cfRule>
  </conditionalFormatting>
  <conditionalFormatting sqref="E37 H37">
    <cfRule type="containsBlanks" dxfId="112" priority="157">
      <formula>LEN(TRIM(E37))=0</formula>
    </cfRule>
  </conditionalFormatting>
  <conditionalFormatting sqref="B37">
    <cfRule type="containsBlanks" dxfId="111" priority="156">
      <formula>LEN(TRIM(B37))=0</formula>
    </cfRule>
  </conditionalFormatting>
  <conditionalFormatting sqref="J39">
    <cfRule type="containsText" dxfId="110" priority="150" operator="containsText" text="Error">
      <formula>NOT(ISERROR(SEARCH("Error",J39)))</formula>
    </cfRule>
  </conditionalFormatting>
  <conditionalFormatting sqref="C39:D39">
    <cfRule type="containsBlanks" dxfId="109" priority="149">
      <formula>LEN(TRIM(C39))=0</formula>
    </cfRule>
  </conditionalFormatting>
  <conditionalFormatting sqref="H39">
    <cfRule type="cellIs" dxfId="108" priority="148" operator="lessThanOrEqual">
      <formula>0</formula>
    </cfRule>
  </conditionalFormatting>
  <conditionalFormatting sqref="E39 H39">
    <cfRule type="containsBlanks" dxfId="107" priority="147">
      <formula>LEN(TRIM(E39))=0</formula>
    </cfRule>
  </conditionalFormatting>
  <conditionalFormatting sqref="B39">
    <cfRule type="containsBlanks" dxfId="106" priority="146">
      <formula>LEN(TRIM(B39))=0</formula>
    </cfRule>
  </conditionalFormatting>
  <conditionalFormatting sqref="J40">
    <cfRule type="containsText" dxfId="105" priority="145" operator="containsText" text="Error">
      <formula>NOT(ISERROR(SEARCH("Error",J40)))</formula>
    </cfRule>
  </conditionalFormatting>
  <conditionalFormatting sqref="C40:D40">
    <cfRule type="containsBlanks" dxfId="104" priority="144">
      <formula>LEN(TRIM(C40))=0</formula>
    </cfRule>
  </conditionalFormatting>
  <conditionalFormatting sqref="H40">
    <cfRule type="cellIs" dxfId="103" priority="143" operator="lessThanOrEqual">
      <formula>0</formula>
    </cfRule>
  </conditionalFormatting>
  <conditionalFormatting sqref="E40 H40">
    <cfRule type="containsBlanks" dxfId="102" priority="142">
      <formula>LEN(TRIM(E40))=0</formula>
    </cfRule>
  </conditionalFormatting>
  <conditionalFormatting sqref="B40">
    <cfRule type="containsBlanks" dxfId="101" priority="141">
      <formula>LEN(TRIM(B40))=0</formula>
    </cfRule>
  </conditionalFormatting>
  <conditionalFormatting sqref="J42">
    <cfRule type="containsText" dxfId="100" priority="135" operator="containsText" text="Error">
      <formula>NOT(ISERROR(SEARCH("Error",J42)))</formula>
    </cfRule>
  </conditionalFormatting>
  <conditionalFormatting sqref="C42:D42">
    <cfRule type="containsBlanks" dxfId="99" priority="134">
      <formula>LEN(TRIM(C42))=0</formula>
    </cfRule>
  </conditionalFormatting>
  <conditionalFormatting sqref="H42">
    <cfRule type="cellIs" dxfId="98" priority="133" operator="lessThanOrEqual">
      <formula>0</formula>
    </cfRule>
  </conditionalFormatting>
  <conditionalFormatting sqref="E42 H42">
    <cfRule type="containsBlanks" dxfId="97" priority="132">
      <formula>LEN(TRIM(E42))=0</formula>
    </cfRule>
  </conditionalFormatting>
  <conditionalFormatting sqref="B42">
    <cfRule type="containsBlanks" dxfId="96" priority="131">
      <formula>LEN(TRIM(B42))=0</formula>
    </cfRule>
  </conditionalFormatting>
  <conditionalFormatting sqref="J43">
    <cfRule type="containsText" dxfId="95" priority="130" operator="containsText" text="Error">
      <formula>NOT(ISERROR(SEARCH("Error",J43)))</formula>
    </cfRule>
  </conditionalFormatting>
  <conditionalFormatting sqref="C43:D43">
    <cfRule type="containsBlanks" dxfId="94" priority="129">
      <formula>LEN(TRIM(C43))=0</formula>
    </cfRule>
  </conditionalFormatting>
  <conditionalFormatting sqref="H43">
    <cfRule type="cellIs" dxfId="93" priority="128" operator="lessThanOrEqual">
      <formula>0</formula>
    </cfRule>
  </conditionalFormatting>
  <conditionalFormatting sqref="E43 H43">
    <cfRule type="containsBlanks" dxfId="92" priority="127">
      <formula>LEN(TRIM(E43))=0</formula>
    </cfRule>
  </conditionalFormatting>
  <conditionalFormatting sqref="B43">
    <cfRule type="containsBlanks" dxfId="91" priority="126">
      <formula>LEN(TRIM(B43))=0</formula>
    </cfRule>
  </conditionalFormatting>
  <conditionalFormatting sqref="J45">
    <cfRule type="containsText" dxfId="90" priority="120" operator="containsText" text="Error">
      <formula>NOT(ISERROR(SEARCH("Error",J45)))</formula>
    </cfRule>
  </conditionalFormatting>
  <conditionalFormatting sqref="C45:D45">
    <cfRule type="containsBlanks" dxfId="89" priority="119">
      <formula>LEN(TRIM(C45))=0</formula>
    </cfRule>
  </conditionalFormatting>
  <conditionalFormatting sqref="H45">
    <cfRule type="cellIs" dxfId="88" priority="118" operator="lessThanOrEqual">
      <formula>0</formula>
    </cfRule>
  </conditionalFormatting>
  <conditionalFormatting sqref="E45 H45">
    <cfRule type="containsBlanks" dxfId="87" priority="117">
      <formula>LEN(TRIM(E45))=0</formula>
    </cfRule>
  </conditionalFormatting>
  <conditionalFormatting sqref="B45">
    <cfRule type="containsBlanks" dxfId="86" priority="116">
      <formula>LEN(TRIM(B45))=0</formula>
    </cfRule>
  </conditionalFormatting>
  <conditionalFormatting sqref="J46">
    <cfRule type="containsText" dxfId="85" priority="115" operator="containsText" text="Error">
      <formula>NOT(ISERROR(SEARCH("Error",J46)))</formula>
    </cfRule>
  </conditionalFormatting>
  <conditionalFormatting sqref="C46:D46">
    <cfRule type="containsBlanks" dxfId="84" priority="114">
      <formula>LEN(TRIM(C46))=0</formula>
    </cfRule>
  </conditionalFormatting>
  <conditionalFormatting sqref="H46">
    <cfRule type="cellIs" dxfId="83" priority="113" operator="lessThanOrEqual">
      <formula>0</formula>
    </cfRule>
  </conditionalFormatting>
  <conditionalFormatting sqref="E46 H46">
    <cfRule type="containsBlanks" dxfId="82" priority="112">
      <formula>LEN(TRIM(E46))=0</formula>
    </cfRule>
  </conditionalFormatting>
  <conditionalFormatting sqref="B46">
    <cfRule type="containsBlanks" dxfId="81" priority="111">
      <formula>LEN(TRIM(B46))=0</formula>
    </cfRule>
  </conditionalFormatting>
  <conditionalFormatting sqref="J48">
    <cfRule type="containsText" dxfId="80" priority="105" operator="containsText" text="Error">
      <formula>NOT(ISERROR(SEARCH("Error",J48)))</formula>
    </cfRule>
  </conditionalFormatting>
  <conditionalFormatting sqref="C48:D48">
    <cfRule type="containsBlanks" dxfId="79" priority="104">
      <formula>LEN(TRIM(C48))=0</formula>
    </cfRule>
  </conditionalFormatting>
  <conditionalFormatting sqref="H48">
    <cfRule type="cellIs" dxfId="78" priority="103" operator="lessThanOrEqual">
      <formula>0</formula>
    </cfRule>
  </conditionalFormatting>
  <conditionalFormatting sqref="E48 H48">
    <cfRule type="containsBlanks" dxfId="77" priority="102">
      <formula>LEN(TRIM(E48))=0</formula>
    </cfRule>
  </conditionalFormatting>
  <conditionalFormatting sqref="B48">
    <cfRule type="containsBlanks" dxfId="76" priority="101">
      <formula>LEN(TRIM(B48))=0</formula>
    </cfRule>
  </conditionalFormatting>
  <conditionalFormatting sqref="J49">
    <cfRule type="containsText" dxfId="75" priority="100" operator="containsText" text="Error">
      <formula>NOT(ISERROR(SEARCH("Error",J49)))</formula>
    </cfRule>
  </conditionalFormatting>
  <conditionalFormatting sqref="C49:D49">
    <cfRule type="containsBlanks" dxfId="74" priority="99">
      <formula>LEN(TRIM(C49))=0</formula>
    </cfRule>
  </conditionalFormatting>
  <conditionalFormatting sqref="H49">
    <cfRule type="cellIs" dxfId="73" priority="98" operator="lessThanOrEqual">
      <formula>0</formula>
    </cfRule>
  </conditionalFormatting>
  <conditionalFormatting sqref="E49 H49">
    <cfRule type="containsBlanks" dxfId="72" priority="97">
      <formula>LEN(TRIM(E49))=0</formula>
    </cfRule>
  </conditionalFormatting>
  <conditionalFormatting sqref="B49">
    <cfRule type="containsBlanks" dxfId="71" priority="96">
      <formula>LEN(TRIM(B49))=0</formula>
    </cfRule>
  </conditionalFormatting>
  <conditionalFormatting sqref="J51">
    <cfRule type="containsText" dxfId="70" priority="90" operator="containsText" text="Error">
      <formula>NOT(ISERROR(SEARCH("Error",J51)))</formula>
    </cfRule>
  </conditionalFormatting>
  <conditionalFormatting sqref="C51:D51">
    <cfRule type="containsBlanks" dxfId="69" priority="89">
      <formula>LEN(TRIM(C51))=0</formula>
    </cfRule>
  </conditionalFormatting>
  <conditionalFormatting sqref="H51">
    <cfRule type="cellIs" dxfId="68" priority="88" operator="lessThanOrEqual">
      <formula>0</formula>
    </cfRule>
  </conditionalFormatting>
  <conditionalFormatting sqref="E51 H51">
    <cfRule type="containsBlanks" dxfId="67" priority="87">
      <formula>LEN(TRIM(E51))=0</formula>
    </cfRule>
  </conditionalFormatting>
  <conditionalFormatting sqref="B51">
    <cfRule type="containsBlanks" dxfId="66" priority="86">
      <formula>LEN(TRIM(B51))=0</formula>
    </cfRule>
  </conditionalFormatting>
  <conditionalFormatting sqref="J54">
    <cfRule type="containsText" dxfId="65" priority="75" operator="containsText" text="Error">
      <formula>NOT(ISERROR(SEARCH("Error",J54)))</formula>
    </cfRule>
  </conditionalFormatting>
  <conditionalFormatting sqref="C54:D54">
    <cfRule type="containsBlanks" dxfId="64" priority="74">
      <formula>LEN(TRIM(C54))=0</formula>
    </cfRule>
  </conditionalFormatting>
  <conditionalFormatting sqref="H54">
    <cfRule type="cellIs" dxfId="63" priority="73" operator="lessThanOrEqual">
      <formula>0</formula>
    </cfRule>
  </conditionalFormatting>
  <conditionalFormatting sqref="E54 H54">
    <cfRule type="containsBlanks" dxfId="62" priority="72">
      <formula>LEN(TRIM(E54))=0</formula>
    </cfRule>
  </conditionalFormatting>
  <conditionalFormatting sqref="B54">
    <cfRule type="containsBlanks" dxfId="61" priority="71">
      <formula>LEN(TRIM(B54))=0</formula>
    </cfRule>
  </conditionalFormatting>
  <conditionalFormatting sqref="J55">
    <cfRule type="containsText" dxfId="60" priority="70" operator="containsText" text="Error">
      <formula>NOT(ISERROR(SEARCH("Error",J55)))</formula>
    </cfRule>
  </conditionalFormatting>
  <conditionalFormatting sqref="C55:D55">
    <cfRule type="containsBlanks" dxfId="59" priority="69">
      <formula>LEN(TRIM(C55))=0</formula>
    </cfRule>
  </conditionalFormatting>
  <conditionalFormatting sqref="H55">
    <cfRule type="cellIs" dxfId="58" priority="68" operator="lessThanOrEqual">
      <formula>0</formula>
    </cfRule>
  </conditionalFormatting>
  <conditionalFormatting sqref="E55 H55">
    <cfRule type="containsBlanks" dxfId="57" priority="67">
      <formula>LEN(TRIM(E55))=0</formula>
    </cfRule>
  </conditionalFormatting>
  <conditionalFormatting sqref="B55">
    <cfRule type="containsBlanks" dxfId="56" priority="66">
      <formula>LEN(TRIM(B55))=0</formula>
    </cfRule>
  </conditionalFormatting>
  <conditionalFormatting sqref="J56">
    <cfRule type="containsText" dxfId="55" priority="65" operator="containsText" text="Error">
      <formula>NOT(ISERROR(SEARCH("Error",J56)))</formula>
    </cfRule>
  </conditionalFormatting>
  <conditionalFormatting sqref="C56:D56">
    <cfRule type="containsBlanks" dxfId="54" priority="64">
      <formula>LEN(TRIM(C56))=0</formula>
    </cfRule>
  </conditionalFormatting>
  <conditionalFormatting sqref="H56">
    <cfRule type="cellIs" dxfId="53" priority="63" operator="lessThanOrEqual">
      <formula>0</formula>
    </cfRule>
  </conditionalFormatting>
  <conditionalFormatting sqref="E56 H56">
    <cfRule type="containsBlanks" dxfId="52" priority="62">
      <formula>LEN(TRIM(E56))=0</formula>
    </cfRule>
  </conditionalFormatting>
  <conditionalFormatting sqref="B56">
    <cfRule type="containsBlanks" dxfId="51" priority="61">
      <formula>LEN(TRIM(B56))=0</formula>
    </cfRule>
  </conditionalFormatting>
  <conditionalFormatting sqref="J38">
    <cfRule type="containsText" dxfId="50" priority="40" operator="containsText" text="Error">
      <formula>NOT(ISERROR(SEARCH("Error",J38)))</formula>
    </cfRule>
  </conditionalFormatting>
  <conditionalFormatting sqref="C38:D38">
    <cfRule type="containsBlanks" dxfId="49" priority="39">
      <formula>LEN(TRIM(C38))=0</formula>
    </cfRule>
  </conditionalFormatting>
  <conditionalFormatting sqref="H38">
    <cfRule type="cellIs" dxfId="48" priority="38" operator="lessThanOrEqual">
      <formula>0</formula>
    </cfRule>
  </conditionalFormatting>
  <conditionalFormatting sqref="E38 H38">
    <cfRule type="containsBlanks" dxfId="47" priority="37">
      <formula>LEN(TRIM(E38))=0</formula>
    </cfRule>
  </conditionalFormatting>
  <conditionalFormatting sqref="B38">
    <cfRule type="containsBlanks" dxfId="46" priority="36">
      <formula>LEN(TRIM(B38))=0</formula>
    </cfRule>
  </conditionalFormatting>
  <conditionalFormatting sqref="J41">
    <cfRule type="containsText" dxfId="45" priority="35" operator="containsText" text="Error">
      <formula>NOT(ISERROR(SEARCH("Error",J41)))</formula>
    </cfRule>
  </conditionalFormatting>
  <conditionalFormatting sqref="C41:D41">
    <cfRule type="containsBlanks" dxfId="44" priority="34">
      <formula>LEN(TRIM(C41))=0</formula>
    </cfRule>
  </conditionalFormatting>
  <conditionalFormatting sqref="H41">
    <cfRule type="cellIs" dxfId="43" priority="33" operator="lessThanOrEqual">
      <formula>0</formula>
    </cfRule>
  </conditionalFormatting>
  <conditionalFormatting sqref="E41 H41">
    <cfRule type="containsBlanks" dxfId="42" priority="32">
      <formula>LEN(TRIM(E41))=0</formula>
    </cfRule>
  </conditionalFormatting>
  <conditionalFormatting sqref="B41">
    <cfRule type="containsBlanks" dxfId="41" priority="31">
      <formula>LEN(TRIM(B41))=0</formula>
    </cfRule>
  </conditionalFormatting>
  <conditionalFormatting sqref="J44">
    <cfRule type="containsText" dxfId="40" priority="30" operator="containsText" text="Error">
      <formula>NOT(ISERROR(SEARCH("Error",J44)))</formula>
    </cfRule>
  </conditionalFormatting>
  <conditionalFormatting sqref="C44:D44">
    <cfRule type="containsBlanks" dxfId="39" priority="29">
      <formula>LEN(TRIM(C44))=0</formula>
    </cfRule>
  </conditionalFormatting>
  <conditionalFormatting sqref="H44">
    <cfRule type="cellIs" dxfId="38" priority="28" operator="lessThanOrEqual">
      <formula>0</formula>
    </cfRule>
  </conditionalFormatting>
  <conditionalFormatting sqref="E44 H44">
    <cfRule type="containsBlanks" dxfId="37" priority="27">
      <formula>LEN(TRIM(E44))=0</formula>
    </cfRule>
  </conditionalFormatting>
  <conditionalFormatting sqref="B44">
    <cfRule type="containsBlanks" dxfId="36" priority="26">
      <formula>LEN(TRIM(B44))=0</formula>
    </cfRule>
  </conditionalFormatting>
  <conditionalFormatting sqref="J47">
    <cfRule type="containsText" dxfId="35" priority="25" operator="containsText" text="Error">
      <formula>NOT(ISERROR(SEARCH("Error",J47)))</formula>
    </cfRule>
  </conditionalFormatting>
  <conditionalFormatting sqref="C47:D47">
    <cfRule type="containsBlanks" dxfId="34" priority="24">
      <formula>LEN(TRIM(C47))=0</formula>
    </cfRule>
  </conditionalFormatting>
  <conditionalFormatting sqref="H47">
    <cfRule type="cellIs" dxfId="33" priority="23" operator="lessThanOrEqual">
      <formula>0</formula>
    </cfRule>
  </conditionalFormatting>
  <conditionalFormatting sqref="E47 H47">
    <cfRule type="containsBlanks" dxfId="32" priority="22">
      <formula>LEN(TRIM(E47))=0</formula>
    </cfRule>
  </conditionalFormatting>
  <conditionalFormatting sqref="B47">
    <cfRule type="containsBlanks" dxfId="31" priority="21">
      <formula>LEN(TRIM(B47))=0</formula>
    </cfRule>
  </conditionalFormatting>
  <conditionalFormatting sqref="J50">
    <cfRule type="containsText" dxfId="30" priority="20" operator="containsText" text="Error">
      <formula>NOT(ISERROR(SEARCH("Error",J50)))</formula>
    </cfRule>
  </conditionalFormatting>
  <conditionalFormatting sqref="C50:D50">
    <cfRule type="containsBlanks" dxfId="29" priority="19">
      <formula>LEN(TRIM(C50))=0</formula>
    </cfRule>
  </conditionalFormatting>
  <conditionalFormatting sqref="H50">
    <cfRule type="cellIs" dxfId="28" priority="18" operator="lessThanOrEqual">
      <formula>0</formula>
    </cfRule>
  </conditionalFormatting>
  <conditionalFormatting sqref="E50 H50">
    <cfRule type="containsBlanks" dxfId="27" priority="17">
      <formula>LEN(TRIM(E50))=0</formula>
    </cfRule>
  </conditionalFormatting>
  <conditionalFormatting sqref="B50">
    <cfRule type="containsBlanks" dxfId="26" priority="16">
      <formula>LEN(TRIM(B50))=0</formula>
    </cfRule>
  </conditionalFormatting>
  <conditionalFormatting sqref="J52">
    <cfRule type="containsText" dxfId="25" priority="10" operator="containsText" text="Error">
      <formula>NOT(ISERROR(SEARCH("Error",J52)))</formula>
    </cfRule>
  </conditionalFormatting>
  <conditionalFormatting sqref="C52:D52">
    <cfRule type="containsBlanks" dxfId="24" priority="9">
      <formula>LEN(TRIM(C52))=0</formula>
    </cfRule>
  </conditionalFormatting>
  <conditionalFormatting sqref="H52">
    <cfRule type="cellIs" dxfId="23" priority="8" operator="lessThanOrEqual">
      <formula>0</formula>
    </cfRule>
  </conditionalFormatting>
  <conditionalFormatting sqref="E52:H52">
    <cfRule type="containsBlanks" dxfId="22" priority="7">
      <formula>LEN(TRIM(E52))=0</formula>
    </cfRule>
  </conditionalFormatting>
  <conditionalFormatting sqref="B52">
    <cfRule type="containsBlanks" dxfId="21" priority="6">
      <formula>LEN(TRIM(B52))=0</formula>
    </cfRule>
  </conditionalFormatting>
  <conditionalFormatting sqref="J53">
    <cfRule type="containsText" dxfId="20" priority="5" operator="containsText" text="Error">
      <formula>NOT(ISERROR(SEARCH("Error",J53)))</formula>
    </cfRule>
  </conditionalFormatting>
  <conditionalFormatting sqref="C53:D53">
    <cfRule type="containsBlanks" dxfId="19" priority="4">
      <formula>LEN(TRIM(C53))=0</formula>
    </cfRule>
  </conditionalFormatting>
  <conditionalFormatting sqref="H53">
    <cfRule type="cellIs" dxfId="18" priority="3" operator="lessThanOrEqual">
      <formula>0</formula>
    </cfRule>
  </conditionalFormatting>
  <conditionalFormatting sqref="E53:H53">
    <cfRule type="containsBlanks" dxfId="17" priority="2">
      <formula>LEN(TRIM(E53))=0</formula>
    </cfRule>
  </conditionalFormatting>
  <conditionalFormatting sqref="B53">
    <cfRule type="containsBlanks" dxfId="16" priority="1">
      <formula>LEN(TRIM(B53))=0</formula>
    </cfRule>
  </conditionalFormatting>
  <dataValidations count="5">
    <dataValidation allowBlank="1" showInputMessage="1" showErrorMessage="1" error="Please encode Source of Co-financing" prompt="Please encode Source of Co-financing" sqref="F13:F56"/>
    <dataValidation allowBlank="1" showInputMessage="1" showErrorMessage="1" error="Please encode Item" prompt="Please encode Item" sqref="E13:E56"/>
    <dataValidation type="custom" allowBlank="1" showInputMessage="1" showErrorMessage="1" error="Format error (2 decimals only)" prompt="Please encode amount (2 decimals only)" sqref="H13:H56">
      <formula1>H13=INT(H13*100)/100</formula1>
    </dataValidation>
    <dataValidation allowBlank="1" showInputMessage="1" showErrorMessage="1" error="Please encode Justification" prompt="Please encode Justification" sqref="G13:G56"/>
    <dataValidation type="list" allowBlank="1" showInputMessage="1" showErrorMessage="1" error="Click arrow to select Partner n°" prompt="Click arrow to select Partner n°" sqref="B13:B56">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baseColWidth="10"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83"/>
      <c r="C1" s="183"/>
      <c r="D1" s="183"/>
      <c r="E1" s="183"/>
      <c r="F1" s="183"/>
      <c r="G1" s="183"/>
      <c r="H1" s="183"/>
      <c r="I1" s="183"/>
    </row>
    <row r="2" spans="2:9" s="24" customFormat="1" ht="30" customHeight="1" x14ac:dyDescent="0.25">
      <c r="B2" s="132" t="s">
        <v>178</v>
      </c>
      <c r="C2" s="132"/>
      <c r="D2" s="132"/>
      <c r="E2" s="132"/>
      <c r="F2" s="132"/>
      <c r="G2" s="132"/>
      <c r="H2" s="132"/>
      <c r="I2" s="132"/>
    </row>
    <row r="3" spans="2:9" s="24" customFormat="1" ht="8.1" customHeight="1" x14ac:dyDescent="0.25">
      <c r="B3" s="207"/>
      <c r="C3" s="207"/>
      <c r="D3" s="207"/>
      <c r="E3" s="207"/>
      <c r="F3" s="207"/>
      <c r="G3" s="207"/>
      <c r="H3" s="207"/>
      <c r="I3" s="207"/>
    </row>
    <row r="4" spans="2:9" s="49" customFormat="1" ht="42" customHeight="1" x14ac:dyDescent="0.25">
      <c r="B4" s="48" t="s">
        <v>162</v>
      </c>
      <c r="C4" s="16" t="s">
        <v>191</v>
      </c>
      <c r="D4" s="16" t="s">
        <v>192</v>
      </c>
      <c r="E4" s="16" t="s">
        <v>200</v>
      </c>
      <c r="F4" s="16" t="s">
        <v>201</v>
      </c>
      <c r="G4" s="16" t="s">
        <v>202</v>
      </c>
      <c r="H4" s="16" t="s">
        <v>343</v>
      </c>
      <c r="I4" s="16" t="s">
        <v>164</v>
      </c>
    </row>
    <row r="5" spans="2:9" x14ac:dyDescent="0.25">
      <c r="B5" s="83" t="str">
        <f>'Unit Costs &amp; Funding Rule'!P10</f>
        <v>Preparation</v>
      </c>
      <c r="C5" s="25">
        <f>SUMIF('1. Staff costs'!B:B,B5,'1. Staff costs'!S:S)</f>
        <v>6980</v>
      </c>
      <c r="D5" s="25">
        <f>SUMIF(' 2-3-6. Travel&amp;Costs of Stay'!B:B,B5,' 2-3-6. Travel&amp;Costs of Stay'!O:O)</f>
        <v>0</v>
      </c>
      <c r="E5" s="26">
        <f>SUMIF(' 2-3-6. Travel&amp;Costs of Stay'!B:B,B5,' 2-3-6. Travel&amp;Costs of Stay'!P:P)</f>
        <v>0</v>
      </c>
      <c r="F5" s="26">
        <f>SUMIF('4. Equipment Costs'!B:B,B5,'4. Equipment Costs'!H:H)</f>
        <v>0</v>
      </c>
      <c r="G5" s="26">
        <f>SUMIF('5. Subcontracting Costs'!B:B,B5,'5. Subcontracting Costs'!H:H)</f>
        <v>0</v>
      </c>
      <c r="H5" s="26">
        <f>SUMIF(' 2-3-6. Travel&amp;Costs of Stay'!B:B,B5,' 2-3-6. Travel&amp;Costs of Stay'!N:N)</f>
        <v>0</v>
      </c>
      <c r="I5" s="27">
        <f t="shared" ref="I5:I10" si="0">SUM(C5:H5)</f>
        <v>6980</v>
      </c>
    </row>
    <row r="6" spans="2:9" ht="16.5" customHeight="1" x14ac:dyDescent="0.25">
      <c r="B6" s="83" t="str">
        <f>'Unit Costs &amp; Funding Rule'!P11</f>
        <v>Development</v>
      </c>
      <c r="C6" s="25">
        <f>SUMIF('1. Staff costs'!B:B,B6,'1. Staff costs'!S:S)</f>
        <v>67885</v>
      </c>
      <c r="D6" s="25">
        <f>SUMIF(' 2-3-6. Travel&amp;Costs of Stay'!B:B,B6,' 2-3-6. Travel&amp;Costs of Stay'!O:O)</f>
        <v>68255</v>
      </c>
      <c r="E6" s="26">
        <f>SUMIF(' 2-3-6. Travel&amp;Costs of Stay'!B:B,B6,' 2-3-6. Travel&amp;Costs of Stay'!P:P)</f>
        <v>259860</v>
      </c>
      <c r="F6" s="26">
        <f>SUMIF('4. Equipment Costs'!B:B,B6,'4. Equipment Costs'!H:H)</f>
        <v>183675</v>
      </c>
      <c r="G6" s="26">
        <f>SUMIF('5. Subcontracting Costs'!B:B,B6,'5. Subcontracting Costs'!H:H)</f>
        <v>20500</v>
      </c>
      <c r="H6" s="26">
        <f>SUMIF(' 2-3-6. Travel&amp;Costs of Stay'!B:B,B6,' 2-3-6. Travel&amp;Costs of Stay'!N:N)</f>
        <v>0</v>
      </c>
      <c r="I6" s="27">
        <f t="shared" si="0"/>
        <v>600175</v>
      </c>
    </row>
    <row r="7" spans="2:9" ht="16.5" customHeight="1" x14ac:dyDescent="0.25">
      <c r="B7" s="83" t="str">
        <f>'Unit Costs &amp; Funding Rule'!P12</f>
        <v>Quality Plan</v>
      </c>
      <c r="C7" s="25">
        <f>SUMIF('1. Staff costs'!B:B,B7,'1. Staff costs'!S:S)</f>
        <v>18120</v>
      </c>
      <c r="D7" s="25">
        <f>SUMIF(' 2-3-6. Travel&amp;Costs of Stay'!B:B,B7,' 2-3-6. Travel&amp;Costs of Stay'!O:O)</f>
        <v>29935</v>
      </c>
      <c r="E7" s="26">
        <f>SUMIF(' 2-3-6. Travel&amp;Costs of Stay'!B:B,B7,' 2-3-6. Travel&amp;Costs of Stay'!P:P)</f>
        <v>34575</v>
      </c>
      <c r="F7" s="26">
        <f>SUMIF('4. Equipment Costs'!B:B,B7,'4. Equipment Costs'!H:H)</f>
        <v>0</v>
      </c>
      <c r="G7" s="26">
        <f>SUMIF('5. Subcontracting Costs'!B:B,B7,'5. Subcontracting Costs'!H:H)</f>
        <v>0</v>
      </c>
      <c r="H7" s="26">
        <f>SUMIF(' 2-3-6. Travel&amp;Costs of Stay'!B:B,B7,' 2-3-6. Travel&amp;Costs of Stay'!N:N)</f>
        <v>0</v>
      </c>
      <c r="I7" s="27">
        <f t="shared" si="0"/>
        <v>82630</v>
      </c>
    </row>
    <row r="8" spans="2:9" ht="16.5" customHeight="1" x14ac:dyDescent="0.25">
      <c r="B8" s="83" t="str">
        <f>'Unit Costs &amp; Funding Rule'!P13</f>
        <v>Dissemination &amp; Exploitation</v>
      </c>
      <c r="C8" s="25">
        <f>SUMIF('1. Staff costs'!B:B,B8,'1. Staff costs'!S:S)</f>
        <v>28190</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0</v>
      </c>
      <c r="H8" s="26">
        <f>SUMIF(' 2-3-6. Travel&amp;Costs of Stay'!B:B,B8,' 2-3-6. Travel&amp;Costs of Stay'!N:N)</f>
        <v>0</v>
      </c>
      <c r="I8" s="27">
        <f t="shared" si="0"/>
        <v>28190</v>
      </c>
    </row>
    <row r="9" spans="2:9" ht="16.5" customHeight="1" x14ac:dyDescent="0.25">
      <c r="B9" s="83" t="str">
        <f>'Unit Costs &amp; Funding Rule'!P14</f>
        <v>Management</v>
      </c>
      <c r="C9" s="25">
        <f>SUMIF('1. Staff costs'!B:B,B9,'1. Staff costs'!S:S)</f>
        <v>148640</v>
      </c>
      <c r="D9" s="25">
        <f>SUMIF(' 2-3-6. Travel&amp;Costs of Stay'!B:B,B9,' 2-3-6. Travel&amp;Costs of Stay'!O:O)</f>
        <v>20380</v>
      </c>
      <c r="E9" s="26">
        <f>SUMIF(' 2-3-6. Travel&amp;Costs of Stay'!B:B,B9,' 2-3-6. Travel&amp;Costs of Stay'!P:P)</f>
        <v>12600</v>
      </c>
      <c r="F9" s="26">
        <f>SUMIF('4. Equipment Costs'!B:B,B9,'4. Equipment Costs'!H:H)</f>
        <v>0</v>
      </c>
      <c r="G9" s="26">
        <f>SUMIF('5. Subcontracting Costs'!B:B,B9,'5. Subcontracting Costs'!H:H)</f>
        <v>0</v>
      </c>
      <c r="H9" s="26">
        <f>SUMIF(' 2-3-6. Travel&amp;Costs of Stay'!B:B,B9,' 2-3-6. Travel&amp;Costs of Stay'!N:N)</f>
        <v>0</v>
      </c>
      <c r="I9" s="27">
        <f t="shared" si="0"/>
        <v>181620</v>
      </c>
    </row>
    <row r="10" spans="2:9" x14ac:dyDescent="0.25">
      <c r="B10" s="47" t="s">
        <v>1</v>
      </c>
      <c r="C10" s="27">
        <f t="shared" ref="C10:F10" si="1">SUM(C5:C9)</f>
        <v>269815</v>
      </c>
      <c r="D10" s="27">
        <f t="shared" si="1"/>
        <v>118570</v>
      </c>
      <c r="E10" s="27">
        <f t="shared" si="1"/>
        <v>307035</v>
      </c>
      <c r="F10" s="27">
        <f t="shared" si="1"/>
        <v>183675</v>
      </c>
      <c r="G10" s="27">
        <f>SUM(G5:G9)</f>
        <v>20500</v>
      </c>
      <c r="H10" s="27">
        <f>SUM(H5:H9)</f>
        <v>0</v>
      </c>
      <c r="I10" s="21">
        <f t="shared" si="0"/>
        <v>899595</v>
      </c>
    </row>
    <row r="11" spans="2:9" ht="20.100000000000001" customHeight="1" x14ac:dyDescent="0.25">
      <c r="B11" s="206"/>
      <c r="C11" s="206"/>
      <c r="D11" s="206"/>
      <c r="E11" s="206"/>
      <c r="F11" s="206"/>
      <c r="G11" s="206"/>
      <c r="H11" s="206"/>
      <c r="I11" s="206"/>
    </row>
    <row r="12" spans="2:9" ht="30" customHeight="1" x14ac:dyDescent="0.25">
      <c r="B12" s="132" t="s">
        <v>203</v>
      </c>
      <c r="C12" s="132"/>
      <c r="D12" s="132"/>
      <c r="E12" s="132"/>
      <c r="F12" s="132"/>
      <c r="G12" s="132"/>
      <c r="H12" s="132"/>
      <c r="I12" s="132"/>
    </row>
    <row r="13" spans="2:9" ht="8.1" customHeight="1" x14ac:dyDescent="0.25">
      <c r="B13" s="204"/>
      <c r="C13" s="204"/>
      <c r="D13" s="204"/>
      <c r="E13" s="204"/>
      <c r="F13" s="204"/>
      <c r="G13" s="204"/>
      <c r="H13" s="204"/>
      <c r="I13" s="204"/>
    </row>
    <row r="14" spans="2:9" ht="36" x14ac:dyDescent="0.25">
      <c r="B14" s="48" t="s">
        <v>177</v>
      </c>
      <c r="C14" s="16" t="s">
        <v>191</v>
      </c>
      <c r="D14" s="16" t="s">
        <v>192</v>
      </c>
      <c r="E14" s="16" t="s">
        <v>200</v>
      </c>
      <c r="F14" s="16" t="s">
        <v>201</v>
      </c>
      <c r="G14" s="16" t="s">
        <v>202</v>
      </c>
      <c r="H14" s="16" t="s">
        <v>343</v>
      </c>
      <c r="I14" s="16" t="s">
        <v>164</v>
      </c>
    </row>
    <row r="15" spans="2:9" x14ac:dyDescent="0.25">
      <c r="B15" s="83" t="s">
        <v>196</v>
      </c>
      <c r="C15" s="25">
        <f>SUMIF(Overview!$E$27:$E$81,B15,Overview!$F$27:$F$81)</f>
        <v>192270</v>
      </c>
      <c r="D15" s="25">
        <f>SUMIF(Overview!$E$27:$E$81,B15,Overview!$G$27:$G$81)</f>
        <v>30550</v>
      </c>
      <c r="E15" s="25">
        <f>SUMIF(Overview!$E$27:$E$81,B15,Overview!$H$27:$H$81)</f>
        <v>18960</v>
      </c>
      <c r="F15" s="25">
        <f>SUMIF(Overview!$E$27:$E$81,B15,Overview!$I$27:$I$81)</f>
        <v>0</v>
      </c>
      <c r="G15" s="25">
        <f>SUMIF(Overview!$E$27:$E$81,B15,Overview!$J$27:$J$81)</f>
        <v>0</v>
      </c>
      <c r="H15" s="25">
        <f>SUMIF(Overview!$E$27:$E$81,B15,Overview!$K$27:$K$81)</f>
        <v>0</v>
      </c>
      <c r="I15" s="27">
        <f>SUM(C15:H15)</f>
        <v>241780</v>
      </c>
    </row>
    <row r="16" spans="2:9" x14ac:dyDescent="0.25">
      <c r="B16" s="83" t="s">
        <v>197</v>
      </c>
      <c r="C16" s="25">
        <f>SUMIF(Overview!$E$27:$E$81,B16,Overview!$F$27:$F$81)</f>
        <v>77545</v>
      </c>
      <c r="D16" s="25">
        <f>SUMIF(Overview!$E$27:$E$81,B16,Overview!$G$27:$G$81)</f>
        <v>88020</v>
      </c>
      <c r="E16" s="25">
        <f>SUMIF(Overview!$E$27:$E$81,B16,Overview!$H$27:$H$81)</f>
        <v>288075</v>
      </c>
      <c r="F16" s="25">
        <f>SUMIF(Overview!$E$27:$E$81,B16,Overview!$I$27:$I$81)</f>
        <v>183675</v>
      </c>
      <c r="G16" s="25">
        <f>SUMIF(Overview!$E$27:$E$81,B16,Overview!$J$27:$J$81)</f>
        <v>20500</v>
      </c>
      <c r="H16" s="25">
        <f>SUMIF(Overview!$E$27:$E$81,B16,Overview!$K$27:$K$81)</f>
        <v>0</v>
      </c>
      <c r="I16" s="27">
        <f>SUM(C16:H16)</f>
        <v>657815</v>
      </c>
    </row>
    <row r="17" spans="2:9" x14ac:dyDescent="0.25">
      <c r="B17" s="47" t="s">
        <v>1</v>
      </c>
      <c r="C17" s="27">
        <f t="shared" ref="C17:F17" si="2">SUM(C15:C16)</f>
        <v>269815</v>
      </c>
      <c r="D17" s="27">
        <f t="shared" si="2"/>
        <v>118570</v>
      </c>
      <c r="E17" s="27">
        <f t="shared" si="2"/>
        <v>307035</v>
      </c>
      <c r="F17" s="27">
        <f t="shared" si="2"/>
        <v>183675</v>
      </c>
      <c r="G17" s="27">
        <f>SUM(G15:G16)</f>
        <v>20500</v>
      </c>
      <c r="H17" s="27">
        <f>SUM(H15:H16)</f>
        <v>0</v>
      </c>
      <c r="I17" s="21">
        <f>SUM(C17:H17)</f>
        <v>899595</v>
      </c>
    </row>
    <row r="18" spans="2:9" ht="20.100000000000001" customHeight="1" x14ac:dyDescent="0.25">
      <c r="B18" s="205"/>
      <c r="C18" s="205"/>
      <c r="D18" s="205"/>
      <c r="E18" s="205"/>
      <c r="F18" s="205"/>
      <c r="G18" s="205"/>
      <c r="H18" s="205"/>
      <c r="I18" s="205"/>
    </row>
    <row r="19" spans="2:9" ht="30" customHeight="1" x14ac:dyDescent="0.25">
      <c r="B19" s="132" t="s">
        <v>205</v>
      </c>
      <c r="C19" s="132"/>
      <c r="D19" s="132"/>
      <c r="E19" s="132"/>
      <c r="F19" s="132"/>
      <c r="G19" s="132"/>
      <c r="H19" s="132"/>
      <c r="I19" s="132"/>
    </row>
    <row r="20" spans="2:9" ht="8.1" customHeight="1" x14ac:dyDescent="0.25">
      <c r="B20" s="204"/>
      <c r="C20" s="204"/>
      <c r="D20" s="204"/>
      <c r="E20" s="204"/>
      <c r="F20" s="204"/>
      <c r="G20" s="204"/>
      <c r="H20" s="204"/>
      <c r="I20" s="204"/>
    </row>
    <row r="21" spans="2:9" ht="54" customHeight="1" x14ac:dyDescent="0.2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8" t="s">
        <v>164</v>
      </c>
      <c r="I21" s="209"/>
    </row>
    <row r="22" spans="2:9" x14ac:dyDescent="0.25">
      <c r="B22" s="52" t="s">
        <v>8</v>
      </c>
      <c r="C22" s="26">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2140</v>
      </c>
      <c r="D22" s="26">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8560</v>
      </c>
      <c r="E22" s="26">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21820</v>
      </c>
      <c r="F22" s="26">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7490</v>
      </c>
      <c r="G22" s="26">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144200</v>
      </c>
      <c r="H22" s="210">
        <f t="shared" ref="H22:H34" si="3">SUM(C22:G22)</f>
        <v>184210</v>
      </c>
      <c r="I22" s="211"/>
    </row>
    <row r="23" spans="2:9" x14ac:dyDescent="0.25">
      <c r="B23" s="52" t="s">
        <v>9</v>
      </c>
      <c r="C23" s="26">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320</v>
      </c>
      <c r="D23" s="26">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84808</v>
      </c>
      <c r="E23" s="26">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3115</v>
      </c>
      <c r="F23" s="26">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1200</v>
      </c>
      <c r="G23" s="26">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11520</v>
      </c>
      <c r="H23" s="210">
        <f t="shared" si="3"/>
        <v>100963</v>
      </c>
      <c r="I23" s="211"/>
    </row>
    <row r="24" spans="2:9" x14ac:dyDescent="0.25">
      <c r="B24" s="52" t="s">
        <v>10</v>
      </c>
      <c r="C24" s="26">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1280</v>
      </c>
      <c r="D24" s="26">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75346</v>
      </c>
      <c r="E24" s="26">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4290</v>
      </c>
      <c r="F24" s="26">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1200</v>
      </c>
      <c r="G24" s="26">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2100</v>
      </c>
      <c r="H24" s="210">
        <f t="shared" si="3"/>
        <v>84216</v>
      </c>
      <c r="I24" s="211"/>
    </row>
    <row r="25" spans="2:9" x14ac:dyDescent="0.25">
      <c r="B25" s="52" t="s">
        <v>11</v>
      </c>
      <c r="C25" s="26">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228</v>
      </c>
      <c r="D25" s="26">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85108</v>
      </c>
      <c r="E25" s="26">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2800</v>
      </c>
      <c r="F25" s="26">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855</v>
      </c>
      <c r="G25" s="26">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2975</v>
      </c>
      <c r="H25" s="210">
        <f t="shared" si="3"/>
        <v>91966</v>
      </c>
      <c r="I25" s="211"/>
    </row>
    <row r="26" spans="2:9" x14ac:dyDescent="0.25">
      <c r="B26" s="52" t="s">
        <v>12</v>
      </c>
      <c r="C26" s="26">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228</v>
      </c>
      <c r="D26" s="26">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58837</v>
      </c>
      <c r="E26" s="26">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4470</v>
      </c>
      <c r="F26" s="26">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855</v>
      </c>
      <c r="G26" s="26">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2975</v>
      </c>
      <c r="H26" s="210">
        <f t="shared" si="3"/>
        <v>67365</v>
      </c>
      <c r="I26" s="211"/>
    </row>
    <row r="27" spans="2:9" x14ac:dyDescent="0.25">
      <c r="B27" s="52" t="s">
        <v>13</v>
      </c>
      <c r="C27" s="26">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1824</v>
      </c>
      <c r="D27" s="26">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65077</v>
      </c>
      <c r="E27" s="26">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4450</v>
      </c>
      <c r="F27" s="26">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1200</v>
      </c>
      <c r="G27" s="26">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2975</v>
      </c>
      <c r="H27" s="210">
        <f t="shared" si="3"/>
        <v>75526</v>
      </c>
      <c r="I27" s="211"/>
    </row>
    <row r="28" spans="2:9" x14ac:dyDescent="0.25">
      <c r="B28" s="52" t="s">
        <v>14</v>
      </c>
      <c r="C28" s="26">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320</v>
      </c>
      <c r="D28" s="26">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80040</v>
      </c>
      <c r="E28" s="26">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3595</v>
      </c>
      <c r="F28" s="26">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1200</v>
      </c>
      <c r="G28" s="26">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2975</v>
      </c>
      <c r="H28" s="210">
        <f t="shared" si="3"/>
        <v>88130</v>
      </c>
      <c r="I28" s="211"/>
    </row>
    <row r="29" spans="2:9" x14ac:dyDescent="0.25">
      <c r="B29" s="52" t="s">
        <v>15</v>
      </c>
      <c r="C29" s="26">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320</v>
      </c>
      <c r="D29" s="26">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64822</v>
      </c>
      <c r="E29" s="26">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4470</v>
      </c>
      <c r="F29" s="26">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2280</v>
      </c>
      <c r="G29" s="26">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2975</v>
      </c>
      <c r="H29" s="210">
        <f t="shared" si="3"/>
        <v>74867</v>
      </c>
      <c r="I29" s="211"/>
    </row>
    <row r="30" spans="2:9" x14ac:dyDescent="0.25">
      <c r="B30" s="52" t="s">
        <v>16</v>
      </c>
      <c r="C30" s="26">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320</v>
      </c>
      <c r="D30" s="26">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64737</v>
      </c>
      <c r="E30" s="26">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4470</v>
      </c>
      <c r="F30" s="26">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2280</v>
      </c>
      <c r="G30" s="26">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2975</v>
      </c>
      <c r="H30" s="210">
        <f t="shared" si="3"/>
        <v>74782</v>
      </c>
      <c r="I30" s="211"/>
    </row>
    <row r="31" spans="2:9" x14ac:dyDescent="0.25">
      <c r="B31" s="52" t="s">
        <v>17</v>
      </c>
      <c r="C31" s="26">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6">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6420</v>
      </c>
      <c r="E31" s="26">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18240</v>
      </c>
      <c r="F31" s="26">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3210</v>
      </c>
      <c r="G31" s="26">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2975</v>
      </c>
      <c r="H31" s="210">
        <f t="shared" si="3"/>
        <v>30845</v>
      </c>
      <c r="I31" s="211"/>
    </row>
    <row r="32" spans="2:9" x14ac:dyDescent="0.25">
      <c r="B32" s="52" t="s">
        <v>18</v>
      </c>
      <c r="C32" s="26">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6">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6420</v>
      </c>
      <c r="E32" s="26">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10910</v>
      </c>
      <c r="F32" s="26">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6420</v>
      </c>
      <c r="G32" s="26">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2975</v>
      </c>
      <c r="H32" s="210">
        <f t="shared" si="3"/>
        <v>26725</v>
      </c>
      <c r="I32" s="211"/>
    </row>
    <row r="33" spans="2:9" x14ac:dyDescent="0.25">
      <c r="B33" s="52" t="s">
        <v>19</v>
      </c>
      <c r="C33" s="26">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6">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0</v>
      </c>
      <c r="E33" s="26">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6">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6">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0</v>
      </c>
      <c r="H33" s="210">
        <f t="shared" si="3"/>
        <v>0</v>
      </c>
      <c r="I33" s="211"/>
    </row>
    <row r="34" spans="2:9" x14ac:dyDescent="0.25">
      <c r="B34" s="52" t="s">
        <v>156</v>
      </c>
      <c r="C34" s="26">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6">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0</v>
      </c>
      <c r="E34" s="26">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6">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6">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0</v>
      </c>
      <c r="H34" s="210">
        <f t="shared" si="3"/>
        <v>0</v>
      </c>
      <c r="I34" s="211"/>
    </row>
    <row r="35" spans="2:9" x14ac:dyDescent="0.25">
      <c r="B35" s="52" t="s">
        <v>20</v>
      </c>
      <c r="C35" s="26">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6">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0</v>
      </c>
      <c r="E35" s="26">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6">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6">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210">
        <f t="shared" ref="H35:H76" si="4">SUM(C35:G35)</f>
        <v>0</v>
      </c>
      <c r="I35" s="211"/>
    </row>
    <row r="36" spans="2:9" x14ac:dyDescent="0.25">
      <c r="B36" s="52" t="s">
        <v>21</v>
      </c>
      <c r="C36" s="26">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6">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6">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6">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6">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210">
        <f t="shared" si="4"/>
        <v>0</v>
      </c>
      <c r="I36" s="211"/>
    </row>
    <row r="37" spans="2:9" x14ac:dyDescent="0.25">
      <c r="B37" s="52" t="s">
        <v>22</v>
      </c>
      <c r="C37" s="26">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6">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6">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6">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6">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210">
        <f t="shared" si="4"/>
        <v>0</v>
      </c>
      <c r="I37" s="211"/>
    </row>
    <row r="38" spans="2:9" x14ac:dyDescent="0.25">
      <c r="B38" s="52" t="s">
        <v>23</v>
      </c>
      <c r="C38" s="26">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6">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6">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6">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6">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210">
        <f t="shared" si="4"/>
        <v>0</v>
      </c>
      <c r="I38" s="211"/>
    </row>
    <row r="39" spans="2:9" x14ac:dyDescent="0.25">
      <c r="B39" s="52" t="s">
        <v>24</v>
      </c>
      <c r="C39" s="26">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6">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6">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6">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6">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210">
        <f t="shared" si="4"/>
        <v>0</v>
      </c>
      <c r="I39" s="211"/>
    </row>
    <row r="40" spans="2:9" x14ac:dyDescent="0.25">
      <c r="B40" s="52" t="s">
        <v>25</v>
      </c>
      <c r="C40" s="26">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6">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6">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6">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6">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210">
        <f t="shared" si="4"/>
        <v>0</v>
      </c>
      <c r="I40" s="211"/>
    </row>
    <row r="41" spans="2:9" x14ac:dyDescent="0.25">
      <c r="B41" s="52" t="s">
        <v>26</v>
      </c>
      <c r="C41" s="26">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6">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6">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6">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6">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210">
        <f t="shared" si="4"/>
        <v>0</v>
      </c>
      <c r="I41" s="211"/>
    </row>
    <row r="42" spans="2:9" x14ac:dyDescent="0.25">
      <c r="B42" s="52" t="s">
        <v>109</v>
      </c>
      <c r="C42" s="26">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6">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6">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6">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6">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210">
        <f t="shared" si="4"/>
        <v>0</v>
      </c>
      <c r="I42" s="211"/>
    </row>
    <row r="43" spans="2:9" x14ac:dyDescent="0.25">
      <c r="B43" s="52" t="s">
        <v>110</v>
      </c>
      <c r="C43" s="26">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6">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6">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6">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6">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210">
        <f t="shared" si="4"/>
        <v>0</v>
      </c>
      <c r="I43" s="211"/>
    </row>
    <row r="44" spans="2:9" x14ac:dyDescent="0.25">
      <c r="B44" s="52" t="s">
        <v>111</v>
      </c>
      <c r="C44" s="26">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6">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6">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6">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6">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210">
        <f t="shared" si="4"/>
        <v>0</v>
      </c>
      <c r="I44" s="211"/>
    </row>
    <row r="45" spans="2:9" x14ac:dyDescent="0.25">
      <c r="B45" s="52" t="s">
        <v>112</v>
      </c>
      <c r="C45" s="26">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6">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6">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6">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6">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210">
        <f t="shared" si="4"/>
        <v>0</v>
      </c>
      <c r="I45" s="211"/>
    </row>
    <row r="46" spans="2:9" x14ac:dyDescent="0.25">
      <c r="B46" s="52" t="s">
        <v>113</v>
      </c>
      <c r="C46" s="26">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6">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6">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6">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6">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210">
        <f t="shared" si="4"/>
        <v>0</v>
      </c>
      <c r="I46" s="211"/>
    </row>
    <row r="47" spans="2:9" x14ac:dyDescent="0.25">
      <c r="B47" s="52" t="s">
        <v>114</v>
      </c>
      <c r="C47" s="26">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6">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6">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6">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6">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210">
        <f t="shared" si="4"/>
        <v>0</v>
      </c>
      <c r="I47" s="211"/>
    </row>
    <row r="48" spans="2:9" x14ac:dyDescent="0.25">
      <c r="B48" s="52" t="s">
        <v>115</v>
      </c>
      <c r="C48" s="26">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6">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6">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6">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6">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210">
        <f t="shared" si="4"/>
        <v>0</v>
      </c>
      <c r="I48" s="211"/>
    </row>
    <row r="49" spans="2:9" x14ac:dyDescent="0.25">
      <c r="B49" s="52" t="s">
        <v>116</v>
      </c>
      <c r="C49" s="26">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6">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6">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6">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6">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210">
        <f t="shared" si="4"/>
        <v>0</v>
      </c>
      <c r="I49" s="211"/>
    </row>
    <row r="50" spans="2:9" x14ac:dyDescent="0.25">
      <c r="B50" s="52" t="s">
        <v>117</v>
      </c>
      <c r="C50" s="26">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6">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6">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6">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6">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210">
        <f t="shared" si="4"/>
        <v>0</v>
      </c>
      <c r="I50" s="211"/>
    </row>
    <row r="51" spans="2:9" x14ac:dyDescent="0.25">
      <c r="B51" s="52" t="s">
        <v>118</v>
      </c>
      <c r="C51" s="26">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6">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6">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6">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6">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210">
        <f t="shared" si="4"/>
        <v>0</v>
      </c>
      <c r="I51" s="211"/>
    </row>
    <row r="52" spans="2:9" x14ac:dyDescent="0.25">
      <c r="B52" s="52" t="s">
        <v>119</v>
      </c>
      <c r="C52" s="26">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6">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6">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6">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6">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210">
        <f t="shared" si="4"/>
        <v>0</v>
      </c>
      <c r="I52" s="211"/>
    </row>
    <row r="53" spans="2:9" x14ac:dyDescent="0.25">
      <c r="B53" s="52" t="s">
        <v>120</v>
      </c>
      <c r="C53" s="26">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6">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6">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6">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6">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210">
        <f t="shared" si="4"/>
        <v>0</v>
      </c>
      <c r="I53" s="211"/>
    </row>
    <row r="54" spans="2:9" x14ac:dyDescent="0.25">
      <c r="B54" s="52" t="s">
        <v>121</v>
      </c>
      <c r="C54" s="26">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6">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6">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6">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6">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210">
        <f t="shared" si="4"/>
        <v>0</v>
      </c>
      <c r="I54" s="211"/>
    </row>
    <row r="55" spans="2:9" x14ac:dyDescent="0.25">
      <c r="B55" s="52" t="s">
        <v>122</v>
      </c>
      <c r="C55" s="26">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6">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6">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6">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6">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210">
        <f t="shared" si="4"/>
        <v>0</v>
      </c>
      <c r="I55" s="211"/>
    </row>
    <row r="56" spans="2:9" x14ac:dyDescent="0.25">
      <c r="B56" s="52" t="s">
        <v>123</v>
      </c>
      <c r="C56" s="26">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6">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6">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6">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6">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210">
        <f t="shared" si="4"/>
        <v>0</v>
      </c>
      <c r="I56" s="211"/>
    </row>
    <row r="57" spans="2:9" x14ac:dyDescent="0.25">
      <c r="B57" s="52" t="s">
        <v>124</v>
      </c>
      <c r="C57" s="26">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6">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6">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6">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6">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210">
        <f t="shared" si="4"/>
        <v>0</v>
      </c>
      <c r="I57" s="211"/>
    </row>
    <row r="58" spans="2:9" x14ac:dyDescent="0.25">
      <c r="B58" s="52" t="s">
        <v>125</v>
      </c>
      <c r="C58" s="26">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6">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6">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6">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6">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210">
        <f t="shared" si="4"/>
        <v>0</v>
      </c>
      <c r="I58" s="211"/>
    </row>
    <row r="59" spans="2:9" x14ac:dyDescent="0.25">
      <c r="B59" s="52" t="s">
        <v>126</v>
      </c>
      <c r="C59" s="26">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6">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6">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6">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6">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210">
        <f t="shared" si="4"/>
        <v>0</v>
      </c>
      <c r="I59" s="211"/>
    </row>
    <row r="60" spans="2:9" x14ac:dyDescent="0.25">
      <c r="B60" s="52" t="s">
        <v>127</v>
      </c>
      <c r="C60" s="26">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6">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6">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6">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6">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210">
        <f t="shared" si="4"/>
        <v>0</v>
      </c>
      <c r="I60" s="211"/>
    </row>
    <row r="61" spans="2:9" x14ac:dyDescent="0.25">
      <c r="B61" s="52" t="s">
        <v>128</v>
      </c>
      <c r="C61" s="26">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6">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6">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6">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6">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210">
        <f t="shared" si="4"/>
        <v>0</v>
      </c>
      <c r="I61" s="211"/>
    </row>
    <row r="62" spans="2:9" x14ac:dyDescent="0.25">
      <c r="B62" s="52" t="s">
        <v>137</v>
      </c>
      <c r="C62" s="26">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6">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6">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6">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6">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210">
        <f t="shared" si="4"/>
        <v>0</v>
      </c>
      <c r="I62" s="211"/>
    </row>
    <row r="63" spans="2:9" x14ac:dyDescent="0.25">
      <c r="B63" s="52" t="s">
        <v>138</v>
      </c>
      <c r="C63" s="26">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6">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6">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6">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6">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210">
        <f t="shared" si="4"/>
        <v>0</v>
      </c>
      <c r="I63" s="211"/>
    </row>
    <row r="64" spans="2:9" x14ac:dyDescent="0.25">
      <c r="B64" s="52" t="s">
        <v>139</v>
      </c>
      <c r="C64" s="26">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6">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6">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6">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6">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210">
        <f t="shared" si="4"/>
        <v>0</v>
      </c>
      <c r="I64" s="211"/>
    </row>
    <row r="65" spans="2:9" x14ac:dyDescent="0.25">
      <c r="B65" s="52" t="s">
        <v>140</v>
      </c>
      <c r="C65" s="26">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6">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6">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6">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6">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210">
        <f t="shared" si="4"/>
        <v>0</v>
      </c>
      <c r="I65" s="211"/>
    </row>
    <row r="66" spans="2:9" x14ac:dyDescent="0.25">
      <c r="B66" s="52" t="s">
        <v>141</v>
      </c>
      <c r="C66" s="26">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6">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6">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6">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6">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210">
        <f t="shared" si="4"/>
        <v>0</v>
      </c>
      <c r="I66" s="211"/>
    </row>
    <row r="67" spans="2:9" x14ac:dyDescent="0.25">
      <c r="B67" s="52" t="s">
        <v>142</v>
      </c>
      <c r="C67" s="26">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6">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6">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6">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6">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210">
        <f t="shared" si="4"/>
        <v>0</v>
      </c>
      <c r="I67" s="211"/>
    </row>
    <row r="68" spans="2:9" x14ac:dyDescent="0.25">
      <c r="B68" s="52" t="s">
        <v>143</v>
      </c>
      <c r="C68" s="26">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6">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6">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6">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6">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210">
        <f t="shared" si="4"/>
        <v>0</v>
      </c>
      <c r="I68" s="211"/>
    </row>
    <row r="69" spans="2:9" x14ac:dyDescent="0.25">
      <c r="B69" s="52" t="s">
        <v>144</v>
      </c>
      <c r="C69" s="26">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6">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6">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6">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6">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210">
        <f t="shared" si="4"/>
        <v>0</v>
      </c>
      <c r="I69" s="211"/>
    </row>
    <row r="70" spans="2:9" x14ac:dyDescent="0.25">
      <c r="B70" s="52" t="s">
        <v>145</v>
      </c>
      <c r="C70" s="26">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6">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6">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6">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6">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210">
        <f t="shared" si="4"/>
        <v>0</v>
      </c>
      <c r="I70" s="211"/>
    </row>
    <row r="71" spans="2:9" x14ac:dyDescent="0.25">
      <c r="B71" s="52" t="s">
        <v>146</v>
      </c>
      <c r="C71" s="26">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6">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6">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6">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6">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210">
        <f t="shared" si="4"/>
        <v>0</v>
      </c>
      <c r="I71" s="211"/>
    </row>
    <row r="72" spans="2:9" x14ac:dyDescent="0.25">
      <c r="B72" s="52" t="s">
        <v>157</v>
      </c>
      <c r="C72" s="26">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6">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6">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6">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6">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210">
        <f t="shared" si="4"/>
        <v>0</v>
      </c>
      <c r="I72" s="211"/>
    </row>
    <row r="73" spans="2:9" x14ac:dyDescent="0.25">
      <c r="B73" s="52" t="s">
        <v>158</v>
      </c>
      <c r="C73" s="26">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6">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6">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6">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6">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210">
        <f t="shared" si="4"/>
        <v>0</v>
      </c>
      <c r="I73" s="211"/>
    </row>
    <row r="74" spans="2:9" x14ac:dyDescent="0.25">
      <c r="B74" s="52" t="s">
        <v>159</v>
      </c>
      <c r="C74" s="26">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6">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6">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6">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6">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210">
        <f t="shared" si="4"/>
        <v>0</v>
      </c>
      <c r="I74" s="211"/>
    </row>
    <row r="75" spans="2:9" x14ac:dyDescent="0.25">
      <c r="B75" s="52" t="s">
        <v>160</v>
      </c>
      <c r="C75" s="26">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6">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6">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6">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6">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210">
        <f t="shared" si="4"/>
        <v>0</v>
      </c>
      <c r="I75" s="211"/>
    </row>
    <row r="76" spans="2:9" x14ac:dyDescent="0.25">
      <c r="B76" s="52" t="s">
        <v>161</v>
      </c>
      <c r="C76" s="26">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6">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6">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6">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6">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210">
        <f t="shared" si="4"/>
        <v>0</v>
      </c>
      <c r="I76" s="211"/>
    </row>
    <row r="77" spans="2:9" x14ac:dyDescent="0.25">
      <c r="B77" s="52" t="s">
        <v>1</v>
      </c>
      <c r="C77" s="27">
        <f>SUM(C22:C76)</f>
        <v>6980</v>
      </c>
      <c r="D77" s="27">
        <f t="shared" ref="D77:G77" si="5">SUM(D22:D76)</f>
        <v>600175</v>
      </c>
      <c r="E77" s="27">
        <f t="shared" si="5"/>
        <v>82630</v>
      </c>
      <c r="F77" s="27">
        <f t="shared" si="5"/>
        <v>28190</v>
      </c>
      <c r="G77" s="27">
        <f t="shared" si="5"/>
        <v>181620</v>
      </c>
      <c r="H77" s="210">
        <f>SUM(C77:G77)</f>
        <v>899595</v>
      </c>
      <c r="I77" s="211"/>
    </row>
  </sheetData>
  <sheetProtection password="E359" sheet="1" objects="1" scenarios="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9"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4"/>
  <sheetViews>
    <sheetView showGridLines="0" zoomScale="70" zoomScaleNormal="70" zoomScaleSheetLayoutView="40" workbookViewId="0">
      <selection activeCell="C2" sqref="C2"/>
    </sheetView>
  </sheetViews>
  <sheetFormatPr baseColWidth="10" defaultColWidth="9.140625" defaultRowHeight="16.5" x14ac:dyDescent="0.3"/>
  <cols>
    <col min="1" max="1" width="1.7109375" style="60" customWidth="1"/>
    <col min="2" max="2" width="40" style="60" customWidth="1"/>
    <col min="3" max="3" width="24" style="60" customWidth="1"/>
    <col min="4" max="7" width="15.85546875" style="60" customWidth="1"/>
    <col min="8" max="8" width="1.7109375" style="60" customWidth="1"/>
    <col min="9" max="10" width="26" style="60" customWidth="1"/>
    <col min="11" max="11" width="1.7109375" style="60" customWidth="1"/>
    <col min="12" max="12" width="18.7109375" style="82" customWidth="1"/>
    <col min="13" max="14" width="18.7109375" style="60" customWidth="1"/>
    <col min="15" max="15" width="1.7109375" style="60" customWidth="1"/>
    <col min="16" max="16" width="28.140625" style="60" bestFit="1" customWidth="1"/>
    <col min="17" max="17" width="20.7109375" style="60" customWidth="1"/>
    <col min="18" max="18" width="1.7109375" style="60" customWidth="1"/>
    <col min="19" max="20" width="25.42578125" style="60" customWidth="1"/>
    <col min="21" max="21" width="20.7109375" style="60" customWidth="1"/>
    <col min="22" max="247" width="9.140625" style="60"/>
    <col min="248" max="248" width="40" style="60" customWidth="1"/>
    <col min="249" max="249" width="11.5703125" style="60" customWidth="1"/>
    <col min="250" max="250" width="24" style="60" customWidth="1"/>
    <col min="251" max="254" width="15.85546875" style="60" customWidth="1"/>
    <col min="255" max="255" width="1.7109375" style="60" customWidth="1"/>
    <col min="256" max="257" width="26" style="60" customWidth="1"/>
    <col min="258" max="258" width="1.7109375" style="60" customWidth="1"/>
    <col min="259" max="261" width="18.7109375" style="60" customWidth="1"/>
    <col min="262" max="262" width="1.7109375" style="60" customWidth="1"/>
    <col min="263" max="263" width="25.42578125" style="60" customWidth="1"/>
    <col min="264" max="264" width="20.7109375" style="60" customWidth="1"/>
    <col min="265" max="265" width="1.7109375" style="60" customWidth="1"/>
    <col min="266" max="267" width="25.42578125" style="60" customWidth="1"/>
    <col min="268" max="268" width="20.7109375" style="60" customWidth="1"/>
    <col min="269" max="269" width="1.7109375" style="60" customWidth="1"/>
    <col min="270" max="270" width="41.5703125" style="60" customWidth="1"/>
    <col min="271" max="271" width="11.5703125" style="60" customWidth="1"/>
    <col min="272" max="272" width="23" style="60" customWidth="1"/>
    <col min="273" max="276" width="18.7109375" style="60" customWidth="1"/>
    <col min="277" max="277" width="1.7109375" style="60" customWidth="1"/>
    <col min="278" max="503" width="9.140625" style="60"/>
    <col min="504" max="504" width="40" style="60" customWidth="1"/>
    <col min="505" max="505" width="11.5703125" style="60" customWidth="1"/>
    <col min="506" max="506" width="24" style="60" customWidth="1"/>
    <col min="507" max="510" width="15.85546875" style="60" customWidth="1"/>
    <col min="511" max="511" width="1.7109375" style="60" customWidth="1"/>
    <col min="512" max="513" width="26" style="60" customWidth="1"/>
    <col min="514" max="514" width="1.7109375" style="60" customWidth="1"/>
    <col min="515" max="517" width="18.7109375" style="60" customWidth="1"/>
    <col min="518" max="518" width="1.7109375" style="60" customWidth="1"/>
    <col min="519" max="519" width="25.42578125" style="60" customWidth="1"/>
    <col min="520" max="520" width="20.7109375" style="60" customWidth="1"/>
    <col min="521" max="521" width="1.7109375" style="60" customWidth="1"/>
    <col min="522" max="523" width="25.42578125" style="60" customWidth="1"/>
    <col min="524" max="524" width="20.7109375" style="60" customWidth="1"/>
    <col min="525" max="525" width="1.7109375" style="60" customWidth="1"/>
    <col min="526" max="526" width="41.5703125" style="60" customWidth="1"/>
    <col min="527" max="527" width="11.5703125" style="60" customWidth="1"/>
    <col min="528" max="528" width="23" style="60" customWidth="1"/>
    <col min="529" max="532" width="18.7109375" style="60" customWidth="1"/>
    <col min="533" max="533" width="1.7109375" style="60" customWidth="1"/>
    <col min="534" max="759" width="9.140625" style="60"/>
    <col min="760" max="760" width="40" style="60" customWidth="1"/>
    <col min="761" max="761" width="11.5703125" style="60" customWidth="1"/>
    <col min="762" max="762" width="24" style="60" customWidth="1"/>
    <col min="763" max="766" width="15.85546875" style="60" customWidth="1"/>
    <col min="767" max="767" width="1.7109375" style="60" customWidth="1"/>
    <col min="768" max="769" width="26" style="60" customWidth="1"/>
    <col min="770" max="770" width="1.7109375" style="60" customWidth="1"/>
    <col min="771" max="773" width="18.7109375" style="60" customWidth="1"/>
    <col min="774" max="774" width="1.7109375" style="60" customWidth="1"/>
    <col min="775" max="775" width="25.42578125" style="60" customWidth="1"/>
    <col min="776" max="776" width="20.7109375" style="60" customWidth="1"/>
    <col min="777" max="777" width="1.7109375" style="60" customWidth="1"/>
    <col min="778" max="779" width="25.42578125" style="60" customWidth="1"/>
    <col min="780" max="780" width="20.7109375" style="60" customWidth="1"/>
    <col min="781" max="781" width="1.7109375" style="60" customWidth="1"/>
    <col min="782" max="782" width="41.5703125" style="60" customWidth="1"/>
    <col min="783" max="783" width="11.5703125" style="60" customWidth="1"/>
    <col min="784" max="784" width="23" style="60" customWidth="1"/>
    <col min="785" max="788" width="18.7109375" style="60" customWidth="1"/>
    <col min="789" max="789" width="1.7109375" style="60" customWidth="1"/>
    <col min="790" max="1015" width="9.140625" style="60"/>
    <col min="1016" max="1016" width="40" style="60" customWidth="1"/>
    <col min="1017" max="1017" width="11.5703125" style="60" customWidth="1"/>
    <col min="1018" max="1018" width="24" style="60" customWidth="1"/>
    <col min="1019" max="1022" width="15.85546875" style="60" customWidth="1"/>
    <col min="1023" max="1023" width="1.7109375" style="60" customWidth="1"/>
    <col min="1024" max="1025" width="26" style="60" customWidth="1"/>
    <col min="1026" max="1026" width="1.7109375" style="60" customWidth="1"/>
    <col min="1027" max="1029" width="18.7109375" style="60" customWidth="1"/>
    <col min="1030" max="1030" width="1.7109375" style="60" customWidth="1"/>
    <col min="1031" max="1031" width="25.42578125" style="60" customWidth="1"/>
    <col min="1032" max="1032" width="20.7109375" style="60" customWidth="1"/>
    <col min="1033" max="1033" width="1.7109375" style="60" customWidth="1"/>
    <col min="1034" max="1035" width="25.42578125" style="60" customWidth="1"/>
    <col min="1036" max="1036" width="20.7109375" style="60" customWidth="1"/>
    <col min="1037" max="1037" width="1.7109375" style="60" customWidth="1"/>
    <col min="1038" max="1038" width="41.5703125" style="60" customWidth="1"/>
    <col min="1039" max="1039" width="11.5703125" style="60" customWidth="1"/>
    <col min="1040" max="1040" width="23" style="60" customWidth="1"/>
    <col min="1041" max="1044" width="18.7109375" style="60" customWidth="1"/>
    <col min="1045" max="1045" width="1.7109375" style="60" customWidth="1"/>
    <col min="1046" max="1271" width="9.140625" style="60"/>
    <col min="1272" max="1272" width="40" style="60" customWidth="1"/>
    <col min="1273" max="1273" width="11.5703125" style="60" customWidth="1"/>
    <col min="1274" max="1274" width="24" style="60" customWidth="1"/>
    <col min="1275" max="1278" width="15.85546875" style="60" customWidth="1"/>
    <col min="1279" max="1279" width="1.7109375" style="60" customWidth="1"/>
    <col min="1280" max="1281" width="26" style="60" customWidth="1"/>
    <col min="1282" max="1282" width="1.7109375" style="60" customWidth="1"/>
    <col min="1283" max="1285" width="18.7109375" style="60" customWidth="1"/>
    <col min="1286" max="1286" width="1.7109375" style="60" customWidth="1"/>
    <col min="1287" max="1287" width="25.42578125" style="60" customWidth="1"/>
    <col min="1288" max="1288" width="20.7109375" style="60" customWidth="1"/>
    <col min="1289" max="1289" width="1.7109375" style="60" customWidth="1"/>
    <col min="1290" max="1291" width="25.42578125" style="60" customWidth="1"/>
    <col min="1292" max="1292" width="20.7109375" style="60" customWidth="1"/>
    <col min="1293" max="1293" width="1.7109375" style="60" customWidth="1"/>
    <col min="1294" max="1294" width="41.5703125" style="60" customWidth="1"/>
    <col min="1295" max="1295" width="11.5703125" style="60" customWidth="1"/>
    <col min="1296" max="1296" width="23" style="60" customWidth="1"/>
    <col min="1297" max="1300" width="18.7109375" style="60" customWidth="1"/>
    <col min="1301" max="1301" width="1.7109375" style="60" customWidth="1"/>
    <col min="1302" max="1527" width="9.140625" style="60"/>
    <col min="1528" max="1528" width="40" style="60" customWidth="1"/>
    <col min="1529" max="1529" width="11.5703125" style="60" customWidth="1"/>
    <col min="1530" max="1530" width="24" style="60" customWidth="1"/>
    <col min="1531" max="1534" width="15.85546875" style="60" customWidth="1"/>
    <col min="1535" max="1535" width="1.7109375" style="60" customWidth="1"/>
    <col min="1536" max="1537" width="26" style="60" customWidth="1"/>
    <col min="1538" max="1538" width="1.7109375" style="60" customWidth="1"/>
    <col min="1539" max="1541" width="18.7109375" style="60" customWidth="1"/>
    <col min="1542" max="1542" width="1.7109375" style="60" customWidth="1"/>
    <col min="1543" max="1543" width="25.42578125" style="60" customWidth="1"/>
    <col min="1544" max="1544" width="20.7109375" style="60" customWidth="1"/>
    <col min="1545" max="1545" width="1.7109375" style="60" customWidth="1"/>
    <col min="1546" max="1547" width="25.42578125" style="60" customWidth="1"/>
    <col min="1548" max="1548" width="20.7109375" style="60" customWidth="1"/>
    <col min="1549" max="1549" width="1.7109375" style="60" customWidth="1"/>
    <col min="1550" max="1550" width="41.5703125" style="60" customWidth="1"/>
    <col min="1551" max="1551" width="11.5703125" style="60" customWidth="1"/>
    <col min="1552" max="1552" width="23" style="60" customWidth="1"/>
    <col min="1553" max="1556" width="18.7109375" style="60" customWidth="1"/>
    <col min="1557" max="1557" width="1.7109375" style="60" customWidth="1"/>
    <col min="1558" max="1783" width="9.140625" style="60"/>
    <col min="1784" max="1784" width="40" style="60" customWidth="1"/>
    <col min="1785" max="1785" width="11.5703125" style="60" customWidth="1"/>
    <col min="1786" max="1786" width="24" style="60" customWidth="1"/>
    <col min="1787" max="1790" width="15.85546875" style="60" customWidth="1"/>
    <col min="1791" max="1791" width="1.7109375" style="60" customWidth="1"/>
    <col min="1792" max="1793" width="26" style="60" customWidth="1"/>
    <col min="1794" max="1794" width="1.7109375" style="60" customWidth="1"/>
    <col min="1795" max="1797" width="18.7109375" style="60" customWidth="1"/>
    <col min="1798" max="1798" width="1.7109375" style="60" customWidth="1"/>
    <col min="1799" max="1799" width="25.42578125" style="60" customWidth="1"/>
    <col min="1800" max="1800" width="20.7109375" style="60" customWidth="1"/>
    <col min="1801" max="1801" width="1.7109375" style="60" customWidth="1"/>
    <col min="1802" max="1803" width="25.42578125" style="60" customWidth="1"/>
    <col min="1804" max="1804" width="20.7109375" style="60" customWidth="1"/>
    <col min="1805" max="1805" width="1.7109375" style="60" customWidth="1"/>
    <col min="1806" max="1806" width="41.5703125" style="60" customWidth="1"/>
    <col min="1807" max="1807" width="11.5703125" style="60" customWidth="1"/>
    <col min="1808" max="1808" width="23" style="60" customWidth="1"/>
    <col min="1809" max="1812" width="18.7109375" style="60" customWidth="1"/>
    <col min="1813" max="1813" width="1.7109375" style="60" customWidth="1"/>
    <col min="1814" max="2039" width="9.140625" style="60"/>
    <col min="2040" max="2040" width="40" style="60" customWidth="1"/>
    <col min="2041" max="2041" width="11.5703125" style="60" customWidth="1"/>
    <col min="2042" max="2042" width="24" style="60" customWidth="1"/>
    <col min="2043" max="2046" width="15.85546875" style="60" customWidth="1"/>
    <col min="2047" max="2047" width="1.7109375" style="60" customWidth="1"/>
    <col min="2048" max="2049" width="26" style="60" customWidth="1"/>
    <col min="2050" max="2050" width="1.7109375" style="60" customWidth="1"/>
    <col min="2051" max="2053" width="18.7109375" style="60" customWidth="1"/>
    <col min="2054" max="2054" width="1.7109375" style="60" customWidth="1"/>
    <col min="2055" max="2055" width="25.42578125" style="60" customWidth="1"/>
    <col min="2056" max="2056" width="20.7109375" style="60" customWidth="1"/>
    <col min="2057" max="2057" width="1.7109375" style="60" customWidth="1"/>
    <col min="2058" max="2059" width="25.42578125" style="60" customWidth="1"/>
    <col min="2060" max="2060" width="20.7109375" style="60" customWidth="1"/>
    <col min="2061" max="2061" width="1.7109375" style="60" customWidth="1"/>
    <col min="2062" max="2062" width="41.5703125" style="60" customWidth="1"/>
    <col min="2063" max="2063" width="11.5703125" style="60" customWidth="1"/>
    <col min="2064" max="2064" width="23" style="60" customWidth="1"/>
    <col min="2065" max="2068" width="18.7109375" style="60" customWidth="1"/>
    <col min="2069" max="2069" width="1.7109375" style="60" customWidth="1"/>
    <col min="2070" max="2295" width="9.140625" style="60"/>
    <col min="2296" max="2296" width="40" style="60" customWidth="1"/>
    <col min="2297" max="2297" width="11.5703125" style="60" customWidth="1"/>
    <col min="2298" max="2298" width="24" style="60" customWidth="1"/>
    <col min="2299" max="2302" width="15.85546875" style="60" customWidth="1"/>
    <col min="2303" max="2303" width="1.7109375" style="60" customWidth="1"/>
    <col min="2304" max="2305" width="26" style="60" customWidth="1"/>
    <col min="2306" max="2306" width="1.7109375" style="60" customWidth="1"/>
    <col min="2307" max="2309" width="18.7109375" style="60" customWidth="1"/>
    <col min="2310" max="2310" width="1.7109375" style="60" customWidth="1"/>
    <col min="2311" max="2311" width="25.42578125" style="60" customWidth="1"/>
    <col min="2312" max="2312" width="20.7109375" style="60" customWidth="1"/>
    <col min="2313" max="2313" width="1.7109375" style="60" customWidth="1"/>
    <col min="2314" max="2315" width="25.42578125" style="60" customWidth="1"/>
    <col min="2316" max="2316" width="20.7109375" style="60" customWidth="1"/>
    <col min="2317" max="2317" width="1.7109375" style="60" customWidth="1"/>
    <col min="2318" max="2318" width="41.5703125" style="60" customWidth="1"/>
    <col min="2319" max="2319" width="11.5703125" style="60" customWidth="1"/>
    <col min="2320" max="2320" width="23" style="60" customWidth="1"/>
    <col min="2321" max="2324" width="18.7109375" style="60" customWidth="1"/>
    <col min="2325" max="2325" width="1.7109375" style="60" customWidth="1"/>
    <col min="2326" max="2551" width="9.140625" style="60"/>
    <col min="2552" max="2552" width="40" style="60" customWidth="1"/>
    <col min="2553" max="2553" width="11.5703125" style="60" customWidth="1"/>
    <col min="2554" max="2554" width="24" style="60" customWidth="1"/>
    <col min="2555" max="2558" width="15.85546875" style="60" customWidth="1"/>
    <col min="2559" max="2559" width="1.7109375" style="60" customWidth="1"/>
    <col min="2560" max="2561" width="26" style="60" customWidth="1"/>
    <col min="2562" max="2562" width="1.7109375" style="60" customWidth="1"/>
    <col min="2563" max="2565" width="18.7109375" style="60" customWidth="1"/>
    <col min="2566" max="2566" width="1.7109375" style="60" customWidth="1"/>
    <col min="2567" max="2567" width="25.42578125" style="60" customWidth="1"/>
    <col min="2568" max="2568" width="20.7109375" style="60" customWidth="1"/>
    <col min="2569" max="2569" width="1.7109375" style="60" customWidth="1"/>
    <col min="2570" max="2571" width="25.42578125" style="60" customWidth="1"/>
    <col min="2572" max="2572" width="20.7109375" style="60" customWidth="1"/>
    <col min="2573" max="2573" width="1.7109375" style="60" customWidth="1"/>
    <col min="2574" max="2574" width="41.5703125" style="60" customWidth="1"/>
    <col min="2575" max="2575" width="11.5703125" style="60" customWidth="1"/>
    <col min="2576" max="2576" width="23" style="60" customWidth="1"/>
    <col min="2577" max="2580" width="18.7109375" style="60" customWidth="1"/>
    <col min="2581" max="2581" width="1.7109375" style="60" customWidth="1"/>
    <col min="2582" max="2807" width="9.140625" style="60"/>
    <col min="2808" max="2808" width="40" style="60" customWidth="1"/>
    <col min="2809" max="2809" width="11.5703125" style="60" customWidth="1"/>
    <col min="2810" max="2810" width="24" style="60" customWidth="1"/>
    <col min="2811" max="2814" width="15.85546875" style="60" customWidth="1"/>
    <col min="2815" max="2815" width="1.7109375" style="60" customWidth="1"/>
    <col min="2816" max="2817" width="26" style="60" customWidth="1"/>
    <col min="2818" max="2818" width="1.7109375" style="60" customWidth="1"/>
    <col min="2819" max="2821" width="18.7109375" style="60" customWidth="1"/>
    <col min="2822" max="2822" width="1.7109375" style="60" customWidth="1"/>
    <col min="2823" max="2823" width="25.42578125" style="60" customWidth="1"/>
    <col min="2824" max="2824" width="20.7109375" style="60" customWidth="1"/>
    <col min="2825" max="2825" width="1.7109375" style="60" customWidth="1"/>
    <col min="2826" max="2827" width="25.42578125" style="60" customWidth="1"/>
    <col min="2828" max="2828" width="20.7109375" style="60" customWidth="1"/>
    <col min="2829" max="2829" width="1.7109375" style="60" customWidth="1"/>
    <col min="2830" max="2830" width="41.5703125" style="60" customWidth="1"/>
    <col min="2831" max="2831" width="11.5703125" style="60" customWidth="1"/>
    <col min="2832" max="2832" width="23" style="60" customWidth="1"/>
    <col min="2833" max="2836" width="18.7109375" style="60" customWidth="1"/>
    <col min="2837" max="2837" width="1.7109375" style="60" customWidth="1"/>
    <col min="2838" max="3063" width="9.140625" style="60"/>
    <col min="3064" max="3064" width="40" style="60" customWidth="1"/>
    <col min="3065" max="3065" width="11.5703125" style="60" customWidth="1"/>
    <col min="3066" max="3066" width="24" style="60" customWidth="1"/>
    <col min="3067" max="3070" width="15.85546875" style="60" customWidth="1"/>
    <col min="3071" max="3071" width="1.7109375" style="60" customWidth="1"/>
    <col min="3072" max="3073" width="26" style="60" customWidth="1"/>
    <col min="3074" max="3074" width="1.7109375" style="60" customWidth="1"/>
    <col min="3075" max="3077" width="18.7109375" style="60" customWidth="1"/>
    <col min="3078" max="3078" width="1.7109375" style="60" customWidth="1"/>
    <col min="3079" max="3079" width="25.42578125" style="60" customWidth="1"/>
    <col min="3080" max="3080" width="20.7109375" style="60" customWidth="1"/>
    <col min="3081" max="3081" width="1.7109375" style="60" customWidth="1"/>
    <col min="3082" max="3083" width="25.42578125" style="60" customWidth="1"/>
    <col min="3084" max="3084" width="20.7109375" style="60" customWidth="1"/>
    <col min="3085" max="3085" width="1.7109375" style="60" customWidth="1"/>
    <col min="3086" max="3086" width="41.5703125" style="60" customWidth="1"/>
    <col min="3087" max="3087" width="11.5703125" style="60" customWidth="1"/>
    <col min="3088" max="3088" width="23" style="60" customWidth="1"/>
    <col min="3089" max="3092" width="18.7109375" style="60" customWidth="1"/>
    <col min="3093" max="3093" width="1.7109375" style="60" customWidth="1"/>
    <col min="3094" max="3319" width="9.140625" style="60"/>
    <col min="3320" max="3320" width="40" style="60" customWidth="1"/>
    <col min="3321" max="3321" width="11.5703125" style="60" customWidth="1"/>
    <col min="3322" max="3322" width="24" style="60" customWidth="1"/>
    <col min="3323" max="3326" width="15.85546875" style="60" customWidth="1"/>
    <col min="3327" max="3327" width="1.7109375" style="60" customWidth="1"/>
    <col min="3328" max="3329" width="26" style="60" customWidth="1"/>
    <col min="3330" max="3330" width="1.7109375" style="60" customWidth="1"/>
    <col min="3331" max="3333" width="18.7109375" style="60" customWidth="1"/>
    <col min="3334" max="3334" width="1.7109375" style="60" customWidth="1"/>
    <col min="3335" max="3335" width="25.42578125" style="60" customWidth="1"/>
    <col min="3336" max="3336" width="20.7109375" style="60" customWidth="1"/>
    <col min="3337" max="3337" width="1.7109375" style="60" customWidth="1"/>
    <col min="3338" max="3339" width="25.42578125" style="60" customWidth="1"/>
    <col min="3340" max="3340" width="20.7109375" style="60" customWidth="1"/>
    <col min="3341" max="3341" width="1.7109375" style="60" customWidth="1"/>
    <col min="3342" max="3342" width="41.5703125" style="60" customWidth="1"/>
    <col min="3343" max="3343" width="11.5703125" style="60" customWidth="1"/>
    <col min="3344" max="3344" width="23" style="60" customWidth="1"/>
    <col min="3345" max="3348" width="18.7109375" style="60" customWidth="1"/>
    <col min="3349" max="3349" width="1.7109375" style="60" customWidth="1"/>
    <col min="3350" max="3575" width="9.140625" style="60"/>
    <col min="3576" max="3576" width="40" style="60" customWidth="1"/>
    <col min="3577" max="3577" width="11.5703125" style="60" customWidth="1"/>
    <col min="3578" max="3578" width="24" style="60" customWidth="1"/>
    <col min="3579" max="3582" width="15.85546875" style="60" customWidth="1"/>
    <col min="3583" max="3583" width="1.7109375" style="60" customWidth="1"/>
    <col min="3584" max="3585" width="26" style="60" customWidth="1"/>
    <col min="3586" max="3586" width="1.7109375" style="60" customWidth="1"/>
    <col min="3587" max="3589" width="18.7109375" style="60" customWidth="1"/>
    <col min="3590" max="3590" width="1.7109375" style="60" customWidth="1"/>
    <col min="3591" max="3591" width="25.42578125" style="60" customWidth="1"/>
    <col min="3592" max="3592" width="20.7109375" style="60" customWidth="1"/>
    <col min="3593" max="3593" width="1.7109375" style="60" customWidth="1"/>
    <col min="3594" max="3595" width="25.42578125" style="60" customWidth="1"/>
    <col min="3596" max="3596" width="20.7109375" style="60" customWidth="1"/>
    <col min="3597" max="3597" width="1.7109375" style="60" customWidth="1"/>
    <col min="3598" max="3598" width="41.5703125" style="60" customWidth="1"/>
    <col min="3599" max="3599" width="11.5703125" style="60" customWidth="1"/>
    <col min="3600" max="3600" width="23" style="60" customWidth="1"/>
    <col min="3601" max="3604" width="18.7109375" style="60" customWidth="1"/>
    <col min="3605" max="3605" width="1.7109375" style="60" customWidth="1"/>
    <col min="3606" max="3831" width="9.140625" style="60"/>
    <col min="3832" max="3832" width="40" style="60" customWidth="1"/>
    <col min="3833" max="3833" width="11.5703125" style="60" customWidth="1"/>
    <col min="3834" max="3834" width="24" style="60" customWidth="1"/>
    <col min="3835" max="3838" width="15.85546875" style="60" customWidth="1"/>
    <col min="3839" max="3839" width="1.7109375" style="60" customWidth="1"/>
    <col min="3840" max="3841" width="26" style="60" customWidth="1"/>
    <col min="3842" max="3842" width="1.7109375" style="60" customWidth="1"/>
    <col min="3843" max="3845" width="18.7109375" style="60" customWidth="1"/>
    <col min="3846" max="3846" width="1.7109375" style="60" customWidth="1"/>
    <col min="3847" max="3847" width="25.42578125" style="60" customWidth="1"/>
    <col min="3848" max="3848" width="20.7109375" style="60" customWidth="1"/>
    <col min="3849" max="3849" width="1.7109375" style="60" customWidth="1"/>
    <col min="3850" max="3851" width="25.42578125" style="60" customWidth="1"/>
    <col min="3852" max="3852" width="20.7109375" style="60" customWidth="1"/>
    <col min="3853" max="3853" width="1.7109375" style="60" customWidth="1"/>
    <col min="3854" max="3854" width="41.5703125" style="60" customWidth="1"/>
    <col min="3855" max="3855" width="11.5703125" style="60" customWidth="1"/>
    <col min="3856" max="3856" width="23" style="60" customWidth="1"/>
    <col min="3857" max="3860" width="18.7109375" style="60" customWidth="1"/>
    <col min="3861" max="3861" width="1.7109375" style="60" customWidth="1"/>
    <col min="3862" max="4087" width="9.140625" style="60"/>
    <col min="4088" max="4088" width="40" style="60" customWidth="1"/>
    <col min="4089" max="4089" width="11.5703125" style="60" customWidth="1"/>
    <col min="4090" max="4090" width="24" style="60" customWidth="1"/>
    <col min="4091" max="4094" width="15.85546875" style="60" customWidth="1"/>
    <col min="4095" max="4095" width="1.7109375" style="60" customWidth="1"/>
    <col min="4096" max="4097" width="26" style="60" customWidth="1"/>
    <col min="4098" max="4098" width="1.7109375" style="60" customWidth="1"/>
    <col min="4099" max="4101" width="18.7109375" style="60" customWidth="1"/>
    <col min="4102" max="4102" width="1.7109375" style="60" customWidth="1"/>
    <col min="4103" max="4103" width="25.42578125" style="60" customWidth="1"/>
    <col min="4104" max="4104" width="20.7109375" style="60" customWidth="1"/>
    <col min="4105" max="4105" width="1.7109375" style="60" customWidth="1"/>
    <col min="4106" max="4107" width="25.42578125" style="60" customWidth="1"/>
    <col min="4108" max="4108" width="20.7109375" style="60" customWidth="1"/>
    <col min="4109" max="4109" width="1.7109375" style="60" customWidth="1"/>
    <col min="4110" max="4110" width="41.5703125" style="60" customWidth="1"/>
    <col min="4111" max="4111" width="11.5703125" style="60" customWidth="1"/>
    <col min="4112" max="4112" width="23" style="60" customWidth="1"/>
    <col min="4113" max="4116" width="18.7109375" style="60" customWidth="1"/>
    <col min="4117" max="4117" width="1.7109375" style="60" customWidth="1"/>
    <col min="4118" max="4343" width="9.140625" style="60"/>
    <col min="4344" max="4344" width="40" style="60" customWidth="1"/>
    <col min="4345" max="4345" width="11.5703125" style="60" customWidth="1"/>
    <col min="4346" max="4346" width="24" style="60" customWidth="1"/>
    <col min="4347" max="4350" width="15.85546875" style="60" customWidth="1"/>
    <col min="4351" max="4351" width="1.7109375" style="60" customWidth="1"/>
    <col min="4352" max="4353" width="26" style="60" customWidth="1"/>
    <col min="4354" max="4354" width="1.7109375" style="60" customWidth="1"/>
    <col min="4355" max="4357" width="18.7109375" style="60" customWidth="1"/>
    <col min="4358" max="4358" width="1.7109375" style="60" customWidth="1"/>
    <col min="4359" max="4359" width="25.42578125" style="60" customWidth="1"/>
    <col min="4360" max="4360" width="20.7109375" style="60" customWidth="1"/>
    <col min="4361" max="4361" width="1.7109375" style="60" customWidth="1"/>
    <col min="4362" max="4363" width="25.42578125" style="60" customWidth="1"/>
    <col min="4364" max="4364" width="20.7109375" style="60" customWidth="1"/>
    <col min="4365" max="4365" width="1.7109375" style="60" customWidth="1"/>
    <col min="4366" max="4366" width="41.5703125" style="60" customWidth="1"/>
    <col min="4367" max="4367" width="11.5703125" style="60" customWidth="1"/>
    <col min="4368" max="4368" width="23" style="60" customWidth="1"/>
    <col min="4369" max="4372" width="18.7109375" style="60" customWidth="1"/>
    <col min="4373" max="4373" width="1.7109375" style="60" customWidth="1"/>
    <col min="4374" max="4599" width="9.140625" style="60"/>
    <col min="4600" max="4600" width="40" style="60" customWidth="1"/>
    <col min="4601" max="4601" width="11.5703125" style="60" customWidth="1"/>
    <col min="4602" max="4602" width="24" style="60" customWidth="1"/>
    <col min="4603" max="4606" width="15.85546875" style="60" customWidth="1"/>
    <col min="4607" max="4607" width="1.7109375" style="60" customWidth="1"/>
    <col min="4608" max="4609" width="26" style="60" customWidth="1"/>
    <col min="4610" max="4610" width="1.7109375" style="60" customWidth="1"/>
    <col min="4611" max="4613" width="18.7109375" style="60" customWidth="1"/>
    <col min="4614" max="4614" width="1.7109375" style="60" customWidth="1"/>
    <col min="4615" max="4615" width="25.42578125" style="60" customWidth="1"/>
    <col min="4616" max="4616" width="20.7109375" style="60" customWidth="1"/>
    <col min="4617" max="4617" width="1.7109375" style="60" customWidth="1"/>
    <col min="4618" max="4619" width="25.42578125" style="60" customWidth="1"/>
    <col min="4620" max="4620" width="20.7109375" style="60" customWidth="1"/>
    <col min="4621" max="4621" width="1.7109375" style="60" customWidth="1"/>
    <col min="4622" max="4622" width="41.5703125" style="60" customWidth="1"/>
    <col min="4623" max="4623" width="11.5703125" style="60" customWidth="1"/>
    <col min="4624" max="4624" width="23" style="60" customWidth="1"/>
    <col min="4625" max="4628" width="18.7109375" style="60" customWidth="1"/>
    <col min="4629" max="4629" width="1.7109375" style="60" customWidth="1"/>
    <col min="4630" max="4855" width="9.140625" style="60"/>
    <col min="4856" max="4856" width="40" style="60" customWidth="1"/>
    <col min="4857" max="4857" width="11.5703125" style="60" customWidth="1"/>
    <col min="4858" max="4858" width="24" style="60" customWidth="1"/>
    <col min="4859" max="4862" width="15.85546875" style="60" customWidth="1"/>
    <col min="4863" max="4863" width="1.7109375" style="60" customWidth="1"/>
    <col min="4864" max="4865" width="26" style="60" customWidth="1"/>
    <col min="4866" max="4866" width="1.7109375" style="60" customWidth="1"/>
    <col min="4867" max="4869" width="18.7109375" style="60" customWidth="1"/>
    <col min="4870" max="4870" width="1.7109375" style="60" customWidth="1"/>
    <col min="4871" max="4871" width="25.42578125" style="60" customWidth="1"/>
    <col min="4872" max="4872" width="20.7109375" style="60" customWidth="1"/>
    <col min="4873" max="4873" width="1.7109375" style="60" customWidth="1"/>
    <col min="4874" max="4875" width="25.42578125" style="60" customWidth="1"/>
    <col min="4876" max="4876" width="20.7109375" style="60" customWidth="1"/>
    <col min="4877" max="4877" width="1.7109375" style="60" customWidth="1"/>
    <col min="4878" max="4878" width="41.5703125" style="60" customWidth="1"/>
    <col min="4879" max="4879" width="11.5703125" style="60" customWidth="1"/>
    <col min="4880" max="4880" width="23" style="60" customWidth="1"/>
    <col min="4881" max="4884" width="18.7109375" style="60" customWidth="1"/>
    <col min="4885" max="4885" width="1.7109375" style="60" customWidth="1"/>
    <col min="4886" max="5111" width="9.140625" style="60"/>
    <col min="5112" max="5112" width="40" style="60" customWidth="1"/>
    <col min="5113" max="5113" width="11.5703125" style="60" customWidth="1"/>
    <col min="5114" max="5114" width="24" style="60" customWidth="1"/>
    <col min="5115" max="5118" width="15.85546875" style="60" customWidth="1"/>
    <col min="5119" max="5119" width="1.7109375" style="60" customWidth="1"/>
    <col min="5120" max="5121" width="26" style="60" customWidth="1"/>
    <col min="5122" max="5122" width="1.7109375" style="60" customWidth="1"/>
    <col min="5123" max="5125" width="18.7109375" style="60" customWidth="1"/>
    <col min="5126" max="5126" width="1.7109375" style="60" customWidth="1"/>
    <col min="5127" max="5127" width="25.42578125" style="60" customWidth="1"/>
    <col min="5128" max="5128" width="20.7109375" style="60" customWidth="1"/>
    <col min="5129" max="5129" width="1.7109375" style="60" customWidth="1"/>
    <col min="5130" max="5131" width="25.42578125" style="60" customWidth="1"/>
    <col min="5132" max="5132" width="20.7109375" style="60" customWidth="1"/>
    <col min="5133" max="5133" width="1.7109375" style="60" customWidth="1"/>
    <col min="5134" max="5134" width="41.5703125" style="60" customWidth="1"/>
    <col min="5135" max="5135" width="11.5703125" style="60" customWidth="1"/>
    <col min="5136" max="5136" width="23" style="60" customWidth="1"/>
    <col min="5137" max="5140" width="18.7109375" style="60" customWidth="1"/>
    <col min="5141" max="5141" width="1.7109375" style="60" customWidth="1"/>
    <col min="5142" max="5367" width="9.140625" style="60"/>
    <col min="5368" max="5368" width="40" style="60" customWidth="1"/>
    <col min="5369" max="5369" width="11.5703125" style="60" customWidth="1"/>
    <col min="5370" max="5370" width="24" style="60" customWidth="1"/>
    <col min="5371" max="5374" width="15.85546875" style="60" customWidth="1"/>
    <col min="5375" max="5375" width="1.7109375" style="60" customWidth="1"/>
    <col min="5376" max="5377" width="26" style="60" customWidth="1"/>
    <col min="5378" max="5378" width="1.7109375" style="60" customWidth="1"/>
    <col min="5379" max="5381" width="18.7109375" style="60" customWidth="1"/>
    <col min="5382" max="5382" width="1.7109375" style="60" customWidth="1"/>
    <col min="5383" max="5383" width="25.42578125" style="60" customWidth="1"/>
    <col min="5384" max="5384" width="20.7109375" style="60" customWidth="1"/>
    <col min="5385" max="5385" width="1.7109375" style="60" customWidth="1"/>
    <col min="5386" max="5387" width="25.42578125" style="60" customWidth="1"/>
    <col min="5388" max="5388" width="20.7109375" style="60" customWidth="1"/>
    <col min="5389" max="5389" width="1.7109375" style="60" customWidth="1"/>
    <col min="5390" max="5390" width="41.5703125" style="60" customWidth="1"/>
    <col min="5391" max="5391" width="11.5703125" style="60" customWidth="1"/>
    <col min="5392" max="5392" width="23" style="60" customWidth="1"/>
    <col min="5393" max="5396" width="18.7109375" style="60" customWidth="1"/>
    <col min="5397" max="5397" width="1.7109375" style="60" customWidth="1"/>
    <col min="5398" max="5623" width="9.140625" style="60"/>
    <col min="5624" max="5624" width="40" style="60" customWidth="1"/>
    <col min="5625" max="5625" width="11.5703125" style="60" customWidth="1"/>
    <col min="5626" max="5626" width="24" style="60" customWidth="1"/>
    <col min="5627" max="5630" width="15.85546875" style="60" customWidth="1"/>
    <col min="5631" max="5631" width="1.7109375" style="60" customWidth="1"/>
    <col min="5632" max="5633" width="26" style="60" customWidth="1"/>
    <col min="5634" max="5634" width="1.7109375" style="60" customWidth="1"/>
    <col min="5635" max="5637" width="18.7109375" style="60" customWidth="1"/>
    <col min="5638" max="5638" width="1.7109375" style="60" customWidth="1"/>
    <col min="5639" max="5639" width="25.42578125" style="60" customWidth="1"/>
    <col min="5640" max="5640" width="20.7109375" style="60" customWidth="1"/>
    <col min="5641" max="5641" width="1.7109375" style="60" customWidth="1"/>
    <col min="5642" max="5643" width="25.42578125" style="60" customWidth="1"/>
    <col min="5644" max="5644" width="20.7109375" style="60" customWidth="1"/>
    <col min="5645" max="5645" width="1.7109375" style="60" customWidth="1"/>
    <col min="5646" max="5646" width="41.5703125" style="60" customWidth="1"/>
    <col min="5647" max="5647" width="11.5703125" style="60" customWidth="1"/>
    <col min="5648" max="5648" width="23" style="60" customWidth="1"/>
    <col min="5649" max="5652" width="18.7109375" style="60" customWidth="1"/>
    <col min="5653" max="5653" width="1.7109375" style="60" customWidth="1"/>
    <col min="5654" max="5879" width="9.140625" style="60"/>
    <col min="5880" max="5880" width="40" style="60" customWidth="1"/>
    <col min="5881" max="5881" width="11.5703125" style="60" customWidth="1"/>
    <col min="5882" max="5882" width="24" style="60" customWidth="1"/>
    <col min="5883" max="5886" width="15.85546875" style="60" customWidth="1"/>
    <col min="5887" max="5887" width="1.7109375" style="60" customWidth="1"/>
    <col min="5888" max="5889" width="26" style="60" customWidth="1"/>
    <col min="5890" max="5890" width="1.7109375" style="60" customWidth="1"/>
    <col min="5891" max="5893" width="18.7109375" style="60" customWidth="1"/>
    <col min="5894" max="5894" width="1.7109375" style="60" customWidth="1"/>
    <col min="5895" max="5895" width="25.42578125" style="60" customWidth="1"/>
    <col min="5896" max="5896" width="20.7109375" style="60" customWidth="1"/>
    <col min="5897" max="5897" width="1.7109375" style="60" customWidth="1"/>
    <col min="5898" max="5899" width="25.42578125" style="60" customWidth="1"/>
    <col min="5900" max="5900" width="20.7109375" style="60" customWidth="1"/>
    <col min="5901" max="5901" width="1.7109375" style="60" customWidth="1"/>
    <col min="5902" max="5902" width="41.5703125" style="60" customWidth="1"/>
    <col min="5903" max="5903" width="11.5703125" style="60" customWidth="1"/>
    <col min="5904" max="5904" width="23" style="60" customWidth="1"/>
    <col min="5905" max="5908" width="18.7109375" style="60" customWidth="1"/>
    <col min="5909" max="5909" width="1.7109375" style="60" customWidth="1"/>
    <col min="5910" max="6135" width="9.140625" style="60"/>
    <col min="6136" max="6136" width="40" style="60" customWidth="1"/>
    <col min="6137" max="6137" width="11.5703125" style="60" customWidth="1"/>
    <col min="6138" max="6138" width="24" style="60" customWidth="1"/>
    <col min="6139" max="6142" width="15.85546875" style="60" customWidth="1"/>
    <col min="6143" max="6143" width="1.7109375" style="60" customWidth="1"/>
    <col min="6144" max="6145" width="26" style="60" customWidth="1"/>
    <col min="6146" max="6146" width="1.7109375" style="60" customWidth="1"/>
    <col min="6147" max="6149" width="18.7109375" style="60" customWidth="1"/>
    <col min="6150" max="6150" width="1.7109375" style="60" customWidth="1"/>
    <col min="6151" max="6151" width="25.42578125" style="60" customWidth="1"/>
    <col min="6152" max="6152" width="20.7109375" style="60" customWidth="1"/>
    <col min="6153" max="6153" width="1.7109375" style="60" customWidth="1"/>
    <col min="6154" max="6155" width="25.42578125" style="60" customWidth="1"/>
    <col min="6156" max="6156" width="20.7109375" style="60" customWidth="1"/>
    <col min="6157" max="6157" width="1.7109375" style="60" customWidth="1"/>
    <col min="6158" max="6158" width="41.5703125" style="60" customWidth="1"/>
    <col min="6159" max="6159" width="11.5703125" style="60" customWidth="1"/>
    <col min="6160" max="6160" width="23" style="60" customWidth="1"/>
    <col min="6161" max="6164" width="18.7109375" style="60" customWidth="1"/>
    <col min="6165" max="6165" width="1.7109375" style="60" customWidth="1"/>
    <col min="6166" max="6391" width="9.140625" style="60"/>
    <col min="6392" max="6392" width="40" style="60" customWidth="1"/>
    <col min="6393" max="6393" width="11.5703125" style="60" customWidth="1"/>
    <col min="6394" max="6394" width="24" style="60" customWidth="1"/>
    <col min="6395" max="6398" width="15.85546875" style="60" customWidth="1"/>
    <col min="6399" max="6399" width="1.7109375" style="60" customWidth="1"/>
    <col min="6400" max="6401" width="26" style="60" customWidth="1"/>
    <col min="6402" max="6402" width="1.7109375" style="60" customWidth="1"/>
    <col min="6403" max="6405" width="18.7109375" style="60" customWidth="1"/>
    <col min="6406" max="6406" width="1.7109375" style="60" customWidth="1"/>
    <col min="6407" max="6407" width="25.42578125" style="60" customWidth="1"/>
    <col min="6408" max="6408" width="20.7109375" style="60" customWidth="1"/>
    <col min="6409" max="6409" width="1.7109375" style="60" customWidth="1"/>
    <col min="6410" max="6411" width="25.42578125" style="60" customWidth="1"/>
    <col min="6412" max="6412" width="20.7109375" style="60" customWidth="1"/>
    <col min="6413" max="6413" width="1.7109375" style="60" customWidth="1"/>
    <col min="6414" max="6414" width="41.5703125" style="60" customWidth="1"/>
    <col min="6415" max="6415" width="11.5703125" style="60" customWidth="1"/>
    <col min="6416" max="6416" width="23" style="60" customWidth="1"/>
    <col min="6417" max="6420" width="18.7109375" style="60" customWidth="1"/>
    <col min="6421" max="6421" width="1.7109375" style="60" customWidth="1"/>
    <col min="6422" max="6647" width="9.140625" style="60"/>
    <col min="6648" max="6648" width="40" style="60" customWidth="1"/>
    <col min="6649" max="6649" width="11.5703125" style="60" customWidth="1"/>
    <col min="6650" max="6650" width="24" style="60" customWidth="1"/>
    <col min="6651" max="6654" width="15.85546875" style="60" customWidth="1"/>
    <col min="6655" max="6655" width="1.7109375" style="60" customWidth="1"/>
    <col min="6656" max="6657" width="26" style="60" customWidth="1"/>
    <col min="6658" max="6658" width="1.7109375" style="60" customWidth="1"/>
    <col min="6659" max="6661" width="18.7109375" style="60" customWidth="1"/>
    <col min="6662" max="6662" width="1.7109375" style="60" customWidth="1"/>
    <col min="6663" max="6663" width="25.42578125" style="60" customWidth="1"/>
    <col min="6664" max="6664" width="20.7109375" style="60" customWidth="1"/>
    <col min="6665" max="6665" width="1.7109375" style="60" customWidth="1"/>
    <col min="6666" max="6667" width="25.42578125" style="60" customWidth="1"/>
    <col min="6668" max="6668" width="20.7109375" style="60" customWidth="1"/>
    <col min="6669" max="6669" width="1.7109375" style="60" customWidth="1"/>
    <col min="6670" max="6670" width="41.5703125" style="60" customWidth="1"/>
    <col min="6671" max="6671" width="11.5703125" style="60" customWidth="1"/>
    <col min="6672" max="6672" width="23" style="60" customWidth="1"/>
    <col min="6673" max="6676" width="18.7109375" style="60" customWidth="1"/>
    <col min="6677" max="6677" width="1.7109375" style="60" customWidth="1"/>
    <col min="6678" max="6903" width="9.140625" style="60"/>
    <col min="6904" max="6904" width="40" style="60" customWidth="1"/>
    <col min="6905" max="6905" width="11.5703125" style="60" customWidth="1"/>
    <col min="6906" max="6906" width="24" style="60" customWidth="1"/>
    <col min="6907" max="6910" width="15.85546875" style="60" customWidth="1"/>
    <col min="6911" max="6911" width="1.7109375" style="60" customWidth="1"/>
    <col min="6912" max="6913" width="26" style="60" customWidth="1"/>
    <col min="6914" max="6914" width="1.7109375" style="60" customWidth="1"/>
    <col min="6915" max="6917" width="18.7109375" style="60" customWidth="1"/>
    <col min="6918" max="6918" width="1.7109375" style="60" customWidth="1"/>
    <col min="6919" max="6919" width="25.42578125" style="60" customWidth="1"/>
    <col min="6920" max="6920" width="20.7109375" style="60" customWidth="1"/>
    <col min="6921" max="6921" width="1.7109375" style="60" customWidth="1"/>
    <col min="6922" max="6923" width="25.42578125" style="60" customWidth="1"/>
    <col min="6924" max="6924" width="20.7109375" style="60" customWidth="1"/>
    <col min="6925" max="6925" width="1.7109375" style="60" customWidth="1"/>
    <col min="6926" max="6926" width="41.5703125" style="60" customWidth="1"/>
    <col min="6927" max="6927" width="11.5703125" style="60" customWidth="1"/>
    <col min="6928" max="6928" width="23" style="60" customWidth="1"/>
    <col min="6929" max="6932" width="18.7109375" style="60" customWidth="1"/>
    <col min="6933" max="6933" width="1.7109375" style="60" customWidth="1"/>
    <col min="6934" max="7159" width="9.140625" style="60"/>
    <col min="7160" max="7160" width="40" style="60" customWidth="1"/>
    <col min="7161" max="7161" width="11.5703125" style="60" customWidth="1"/>
    <col min="7162" max="7162" width="24" style="60" customWidth="1"/>
    <col min="7163" max="7166" width="15.85546875" style="60" customWidth="1"/>
    <col min="7167" max="7167" width="1.7109375" style="60" customWidth="1"/>
    <col min="7168" max="7169" width="26" style="60" customWidth="1"/>
    <col min="7170" max="7170" width="1.7109375" style="60" customWidth="1"/>
    <col min="7171" max="7173" width="18.7109375" style="60" customWidth="1"/>
    <col min="7174" max="7174" width="1.7109375" style="60" customWidth="1"/>
    <col min="7175" max="7175" width="25.42578125" style="60" customWidth="1"/>
    <col min="7176" max="7176" width="20.7109375" style="60" customWidth="1"/>
    <col min="7177" max="7177" width="1.7109375" style="60" customWidth="1"/>
    <col min="7178" max="7179" width="25.42578125" style="60" customWidth="1"/>
    <col min="7180" max="7180" width="20.7109375" style="60" customWidth="1"/>
    <col min="7181" max="7181" width="1.7109375" style="60" customWidth="1"/>
    <col min="7182" max="7182" width="41.5703125" style="60" customWidth="1"/>
    <col min="7183" max="7183" width="11.5703125" style="60" customWidth="1"/>
    <col min="7184" max="7184" width="23" style="60" customWidth="1"/>
    <col min="7185" max="7188" width="18.7109375" style="60" customWidth="1"/>
    <col min="7189" max="7189" width="1.7109375" style="60" customWidth="1"/>
    <col min="7190" max="7415" width="9.140625" style="60"/>
    <col min="7416" max="7416" width="40" style="60" customWidth="1"/>
    <col min="7417" max="7417" width="11.5703125" style="60" customWidth="1"/>
    <col min="7418" max="7418" width="24" style="60" customWidth="1"/>
    <col min="7419" max="7422" width="15.85546875" style="60" customWidth="1"/>
    <col min="7423" max="7423" width="1.7109375" style="60" customWidth="1"/>
    <col min="7424" max="7425" width="26" style="60" customWidth="1"/>
    <col min="7426" max="7426" width="1.7109375" style="60" customWidth="1"/>
    <col min="7427" max="7429" width="18.7109375" style="60" customWidth="1"/>
    <col min="7430" max="7430" width="1.7109375" style="60" customWidth="1"/>
    <col min="7431" max="7431" width="25.42578125" style="60" customWidth="1"/>
    <col min="7432" max="7432" width="20.7109375" style="60" customWidth="1"/>
    <col min="7433" max="7433" width="1.7109375" style="60" customWidth="1"/>
    <col min="7434" max="7435" width="25.42578125" style="60" customWidth="1"/>
    <col min="7436" max="7436" width="20.7109375" style="60" customWidth="1"/>
    <col min="7437" max="7437" width="1.7109375" style="60" customWidth="1"/>
    <col min="7438" max="7438" width="41.5703125" style="60" customWidth="1"/>
    <col min="7439" max="7439" width="11.5703125" style="60" customWidth="1"/>
    <col min="7440" max="7440" width="23" style="60" customWidth="1"/>
    <col min="7441" max="7444" width="18.7109375" style="60" customWidth="1"/>
    <col min="7445" max="7445" width="1.7109375" style="60" customWidth="1"/>
    <col min="7446" max="7671" width="9.140625" style="60"/>
    <col min="7672" max="7672" width="40" style="60" customWidth="1"/>
    <col min="7673" max="7673" width="11.5703125" style="60" customWidth="1"/>
    <col min="7674" max="7674" width="24" style="60" customWidth="1"/>
    <col min="7675" max="7678" width="15.85546875" style="60" customWidth="1"/>
    <col min="7679" max="7679" width="1.7109375" style="60" customWidth="1"/>
    <col min="7680" max="7681" width="26" style="60" customWidth="1"/>
    <col min="7682" max="7682" width="1.7109375" style="60" customWidth="1"/>
    <col min="7683" max="7685" width="18.7109375" style="60" customWidth="1"/>
    <col min="7686" max="7686" width="1.7109375" style="60" customWidth="1"/>
    <col min="7687" max="7687" width="25.42578125" style="60" customWidth="1"/>
    <col min="7688" max="7688" width="20.7109375" style="60" customWidth="1"/>
    <col min="7689" max="7689" width="1.7109375" style="60" customWidth="1"/>
    <col min="7690" max="7691" width="25.42578125" style="60" customWidth="1"/>
    <col min="7692" max="7692" width="20.7109375" style="60" customWidth="1"/>
    <col min="7693" max="7693" width="1.7109375" style="60" customWidth="1"/>
    <col min="7694" max="7694" width="41.5703125" style="60" customWidth="1"/>
    <col min="7695" max="7695" width="11.5703125" style="60" customWidth="1"/>
    <col min="7696" max="7696" width="23" style="60" customWidth="1"/>
    <col min="7697" max="7700" width="18.7109375" style="60" customWidth="1"/>
    <col min="7701" max="7701" width="1.7109375" style="60" customWidth="1"/>
    <col min="7702" max="7927" width="9.140625" style="60"/>
    <col min="7928" max="7928" width="40" style="60" customWidth="1"/>
    <col min="7929" max="7929" width="11.5703125" style="60" customWidth="1"/>
    <col min="7930" max="7930" width="24" style="60" customWidth="1"/>
    <col min="7931" max="7934" width="15.85546875" style="60" customWidth="1"/>
    <col min="7935" max="7935" width="1.7109375" style="60" customWidth="1"/>
    <col min="7936" max="7937" width="26" style="60" customWidth="1"/>
    <col min="7938" max="7938" width="1.7109375" style="60" customWidth="1"/>
    <col min="7939" max="7941" width="18.7109375" style="60" customWidth="1"/>
    <col min="7942" max="7942" width="1.7109375" style="60" customWidth="1"/>
    <col min="7943" max="7943" width="25.42578125" style="60" customWidth="1"/>
    <col min="7944" max="7944" width="20.7109375" style="60" customWidth="1"/>
    <col min="7945" max="7945" width="1.7109375" style="60" customWidth="1"/>
    <col min="7946" max="7947" width="25.42578125" style="60" customWidth="1"/>
    <col min="7948" max="7948" width="20.7109375" style="60" customWidth="1"/>
    <col min="7949" max="7949" width="1.7109375" style="60" customWidth="1"/>
    <col min="7950" max="7950" width="41.5703125" style="60" customWidth="1"/>
    <col min="7951" max="7951" width="11.5703125" style="60" customWidth="1"/>
    <col min="7952" max="7952" width="23" style="60" customWidth="1"/>
    <col min="7953" max="7956" width="18.7109375" style="60" customWidth="1"/>
    <col min="7957" max="7957" width="1.7109375" style="60" customWidth="1"/>
    <col min="7958" max="8183" width="9.140625" style="60"/>
    <col min="8184" max="8184" width="40" style="60" customWidth="1"/>
    <col min="8185" max="8185" width="11.5703125" style="60" customWidth="1"/>
    <col min="8186" max="8186" width="24" style="60" customWidth="1"/>
    <col min="8187" max="8190" width="15.85546875" style="60" customWidth="1"/>
    <col min="8191" max="8191" width="1.7109375" style="60" customWidth="1"/>
    <col min="8192" max="8193" width="26" style="60" customWidth="1"/>
    <col min="8194" max="8194" width="1.7109375" style="60" customWidth="1"/>
    <col min="8195" max="8197" width="18.7109375" style="60" customWidth="1"/>
    <col min="8198" max="8198" width="1.7109375" style="60" customWidth="1"/>
    <col min="8199" max="8199" width="25.42578125" style="60" customWidth="1"/>
    <col min="8200" max="8200" width="20.7109375" style="60" customWidth="1"/>
    <col min="8201" max="8201" width="1.7109375" style="60" customWidth="1"/>
    <col min="8202" max="8203" width="25.42578125" style="60" customWidth="1"/>
    <col min="8204" max="8204" width="20.7109375" style="60" customWidth="1"/>
    <col min="8205" max="8205" width="1.7109375" style="60" customWidth="1"/>
    <col min="8206" max="8206" width="41.5703125" style="60" customWidth="1"/>
    <col min="8207" max="8207" width="11.5703125" style="60" customWidth="1"/>
    <col min="8208" max="8208" width="23" style="60" customWidth="1"/>
    <col min="8209" max="8212" width="18.7109375" style="60" customWidth="1"/>
    <col min="8213" max="8213" width="1.7109375" style="60" customWidth="1"/>
    <col min="8214" max="8439" width="9.140625" style="60"/>
    <col min="8440" max="8440" width="40" style="60" customWidth="1"/>
    <col min="8441" max="8441" width="11.5703125" style="60" customWidth="1"/>
    <col min="8442" max="8442" width="24" style="60" customWidth="1"/>
    <col min="8443" max="8446" width="15.85546875" style="60" customWidth="1"/>
    <col min="8447" max="8447" width="1.7109375" style="60" customWidth="1"/>
    <col min="8448" max="8449" width="26" style="60" customWidth="1"/>
    <col min="8450" max="8450" width="1.7109375" style="60" customWidth="1"/>
    <col min="8451" max="8453" width="18.7109375" style="60" customWidth="1"/>
    <col min="8454" max="8454" width="1.7109375" style="60" customWidth="1"/>
    <col min="8455" max="8455" width="25.42578125" style="60" customWidth="1"/>
    <col min="8456" max="8456" width="20.7109375" style="60" customWidth="1"/>
    <col min="8457" max="8457" width="1.7109375" style="60" customWidth="1"/>
    <col min="8458" max="8459" width="25.42578125" style="60" customWidth="1"/>
    <col min="8460" max="8460" width="20.7109375" style="60" customWidth="1"/>
    <col min="8461" max="8461" width="1.7109375" style="60" customWidth="1"/>
    <col min="8462" max="8462" width="41.5703125" style="60" customWidth="1"/>
    <col min="8463" max="8463" width="11.5703125" style="60" customWidth="1"/>
    <col min="8464" max="8464" width="23" style="60" customWidth="1"/>
    <col min="8465" max="8468" width="18.7109375" style="60" customWidth="1"/>
    <col min="8469" max="8469" width="1.7109375" style="60" customWidth="1"/>
    <col min="8470" max="8695" width="9.140625" style="60"/>
    <col min="8696" max="8696" width="40" style="60" customWidth="1"/>
    <col min="8697" max="8697" width="11.5703125" style="60" customWidth="1"/>
    <col min="8698" max="8698" width="24" style="60" customWidth="1"/>
    <col min="8699" max="8702" width="15.85546875" style="60" customWidth="1"/>
    <col min="8703" max="8703" width="1.7109375" style="60" customWidth="1"/>
    <col min="8704" max="8705" width="26" style="60" customWidth="1"/>
    <col min="8706" max="8706" width="1.7109375" style="60" customWidth="1"/>
    <col min="8707" max="8709" width="18.7109375" style="60" customWidth="1"/>
    <col min="8710" max="8710" width="1.7109375" style="60" customWidth="1"/>
    <col min="8711" max="8711" width="25.42578125" style="60" customWidth="1"/>
    <col min="8712" max="8712" width="20.7109375" style="60" customWidth="1"/>
    <col min="8713" max="8713" width="1.7109375" style="60" customWidth="1"/>
    <col min="8714" max="8715" width="25.42578125" style="60" customWidth="1"/>
    <col min="8716" max="8716" width="20.7109375" style="60" customWidth="1"/>
    <col min="8717" max="8717" width="1.7109375" style="60" customWidth="1"/>
    <col min="8718" max="8718" width="41.5703125" style="60" customWidth="1"/>
    <col min="8719" max="8719" width="11.5703125" style="60" customWidth="1"/>
    <col min="8720" max="8720" width="23" style="60" customWidth="1"/>
    <col min="8721" max="8724" width="18.7109375" style="60" customWidth="1"/>
    <col min="8725" max="8725" width="1.7109375" style="60" customWidth="1"/>
    <col min="8726" max="8951" width="9.140625" style="60"/>
    <col min="8952" max="8952" width="40" style="60" customWidth="1"/>
    <col min="8953" max="8953" width="11.5703125" style="60" customWidth="1"/>
    <col min="8954" max="8954" width="24" style="60" customWidth="1"/>
    <col min="8955" max="8958" width="15.85546875" style="60" customWidth="1"/>
    <col min="8959" max="8959" width="1.7109375" style="60" customWidth="1"/>
    <col min="8960" max="8961" width="26" style="60" customWidth="1"/>
    <col min="8962" max="8962" width="1.7109375" style="60" customWidth="1"/>
    <col min="8963" max="8965" width="18.7109375" style="60" customWidth="1"/>
    <col min="8966" max="8966" width="1.7109375" style="60" customWidth="1"/>
    <col min="8967" max="8967" width="25.42578125" style="60" customWidth="1"/>
    <col min="8968" max="8968" width="20.7109375" style="60" customWidth="1"/>
    <col min="8969" max="8969" width="1.7109375" style="60" customWidth="1"/>
    <col min="8970" max="8971" width="25.42578125" style="60" customWidth="1"/>
    <col min="8972" max="8972" width="20.7109375" style="60" customWidth="1"/>
    <col min="8973" max="8973" width="1.7109375" style="60" customWidth="1"/>
    <col min="8974" max="8974" width="41.5703125" style="60" customWidth="1"/>
    <col min="8975" max="8975" width="11.5703125" style="60" customWidth="1"/>
    <col min="8976" max="8976" width="23" style="60" customWidth="1"/>
    <col min="8977" max="8980" width="18.7109375" style="60" customWidth="1"/>
    <col min="8981" max="8981" width="1.7109375" style="60" customWidth="1"/>
    <col min="8982" max="9207" width="9.140625" style="60"/>
    <col min="9208" max="9208" width="40" style="60" customWidth="1"/>
    <col min="9209" max="9209" width="11.5703125" style="60" customWidth="1"/>
    <col min="9210" max="9210" width="24" style="60" customWidth="1"/>
    <col min="9211" max="9214" width="15.85546875" style="60" customWidth="1"/>
    <col min="9215" max="9215" width="1.7109375" style="60" customWidth="1"/>
    <col min="9216" max="9217" width="26" style="60" customWidth="1"/>
    <col min="9218" max="9218" width="1.7109375" style="60" customWidth="1"/>
    <col min="9219" max="9221" width="18.7109375" style="60" customWidth="1"/>
    <col min="9222" max="9222" width="1.7109375" style="60" customWidth="1"/>
    <col min="9223" max="9223" width="25.42578125" style="60" customWidth="1"/>
    <col min="9224" max="9224" width="20.7109375" style="60" customWidth="1"/>
    <col min="9225" max="9225" width="1.7109375" style="60" customWidth="1"/>
    <col min="9226" max="9227" width="25.42578125" style="60" customWidth="1"/>
    <col min="9228" max="9228" width="20.7109375" style="60" customWidth="1"/>
    <col min="9229" max="9229" width="1.7109375" style="60" customWidth="1"/>
    <col min="9230" max="9230" width="41.5703125" style="60" customWidth="1"/>
    <col min="9231" max="9231" width="11.5703125" style="60" customWidth="1"/>
    <col min="9232" max="9232" width="23" style="60" customWidth="1"/>
    <col min="9233" max="9236" width="18.7109375" style="60" customWidth="1"/>
    <col min="9237" max="9237" width="1.7109375" style="60" customWidth="1"/>
    <col min="9238" max="9463" width="9.140625" style="60"/>
    <col min="9464" max="9464" width="40" style="60" customWidth="1"/>
    <col min="9465" max="9465" width="11.5703125" style="60" customWidth="1"/>
    <col min="9466" max="9466" width="24" style="60" customWidth="1"/>
    <col min="9467" max="9470" width="15.85546875" style="60" customWidth="1"/>
    <col min="9471" max="9471" width="1.7109375" style="60" customWidth="1"/>
    <col min="9472" max="9473" width="26" style="60" customWidth="1"/>
    <col min="9474" max="9474" width="1.7109375" style="60" customWidth="1"/>
    <col min="9475" max="9477" width="18.7109375" style="60" customWidth="1"/>
    <col min="9478" max="9478" width="1.7109375" style="60" customWidth="1"/>
    <col min="9479" max="9479" width="25.42578125" style="60" customWidth="1"/>
    <col min="9480" max="9480" width="20.7109375" style="60" customWidth="1"/>
    <col min="9481" max="9481" width="1.7109375" style="60" customWidth="1"/>
    <col min="9482" max="9483" width="25.42578125" style="60" customWidth="1"/>
    <col min="9484" max="9484" width="20.7109375" style="60" customWidth="1"/>
    <col min="9485" max="9485" width="1.7109375" style="60" customWidth="1"/>
    <col min="9486" max="9486" width="41.5703125" style="60" customWidth="1"/>
    <col min="9487" max="9487" width="11.5703125" style="60" customWidth="1"/>
    <col min="9488" max="9488" width="23" style="60" customWidth="1"/>
    <col min="9489" max="9492" width="18.7109375" style="60" customWidth="1"/>
    <col min="9493" max="9493" width="1.7109375" style="60" customWidth="1"/>
    <col min="9494" max="9719" width="9.140625" style="60"/>
    <col min="9720" max="9720" width="40" style="60" customWidth="1"/>
    <col min="9721" max="9721" width="11.5703125" style="60" customWidth="1"/>
    <col min="9722" max="9722" width="24" style="60" customWidth="1"/>
    <col min="9723" max="9726" width="15.85546875" style="60" customWidth="1"/>
    <col min="9727" max="9727" width="1.7109375" style="60" customWidth="1"/>
    <col min="9728" max="9729" width="26" style="60" customWidth="1"/>
    <col min="9730" max="9730" width="1.7109375" style="60" customWidth="1"/>
    <col min="9731" max="9733" width="18.7109375" style="60" customWidth="1"/>
    <col min="9734" max="9734" width="1.7109375" style="60" customWidth="1"/>
    <col min="9735" max="9735" width="25.42578125" style="60" customWidth="1"/>
    <col min="9736" max="9736" width="20.7109375" style="60" customWidth="1"/>
    <col min="9737" max="9737" width="1.7109375" style="60" customWidth="1"/>
    <col min="9738" max="9739" width="25.42578125" style="60" customWidth="1"/>
    <col min="9740" max="9740" width="20.7109375" style="60" customWidth="1"/>
    <col min="9741" max="9741" width="1.7109375" style="60" customWidth="1"/>
    <col min="9742" max="9742" width="41.5703125" style="60" customWidth="1"/>
    <col min="9743" max="9743" width="11.5703125" style="60" customWidth="1"/>
    <col min="9744" max="9744" width="23" style="60" customWidth="1"/>
    <col min="9745" max="9748" width="18.7109375" style="60" customWidth="1"/>
    <col min="9749" max="9749" width="1.7109375" style="60" customWidth="1"/>
    <col min="9750" max="9975" width="9.140625" style="60"/>
    <col min="9976" max="9976" width="40" style="60" customWidth="1"/>
    <col min="9977" max="9977" width="11.5703125" style="60" customWidth="1"/>
    <col min="9978" max="9978" width="24" style="60" customWidth="1"/>
    <col min="9979" max="9982" width="15.85546875" style="60" customWidth="1"/>
    <col min="9983" max="9983" width="1.7109375" style="60" customWidth="1"/>
    <col min="9984" max="9985" width="26" style="60" customWidth="1"/>
    <col min="9986" max="9986" width="1.7109375" style="60" customWidth="1"/>
    <col min="9987" max="9989" width="18.7109375" style="60" customWidth="1"/>
    <col min="9990" max="9990" width="1.7109375" style="60" customWidth="1"/>
    <col min="9991" max="9991" width="25.42578125" style="60" customWidth="1"/>
    <col min="9992" max="9992" width="20.7109375" style="60" customWidth="1"/>
    <col min="9993" max="9993" width="1.7109375" style="60" customWidth="1"/>
    <col min="9994" max="9995" width="25.42578125" style="60" customWidth="1"/>
    <col min="9996" max="9996" width="20.7109375" style="60" customWidth="1"/>
    <col min="9997" max="9997" width="1.7109375" style="60" customWidth="1"/>
    <col min="9998" max="9998" width="41.5703125" style="60" customWidth="1"/>
    <col min="9999" max="9999" width="11.5703125" style="60" customWidth="1"/>
    <col min="10000" max="10000" width="23" style="60" customWidth="1"/>
    <col min="10001" max="10004" width="18.7109375" style="60" customWidth="1"/>
    <col min="10005" max="10005" width="1.7109375" style="60" customWidth="1"/>
    <col min="10006" max="10231" width="9.140625" style="60"/>
    <col min="10232" max="10232" width="40" style="60" customWidth="1"/>
    <col min="10233" max="10233" width="11.5703125" style="60" customWidth="1"/>
    <col min="10234" max="10234" width="24" style="60" customWidth="1"/>
    <col min="10235" max="10238" width="15.85546875" style="60" customWidth="1"/>
    <col min="10239" max="10239" width="1.7109375" style="60" customWidth="1"/>
    <col min="10240" max="10241" width="26" style="60" customWidth="1"/>
    <col min="10242" max="10242" width="1.7109375" style="60" customWidth="1"/>
    <col min="10243" max="10245" width="18.7109375" style="60" customWidth="1"/>
    <col min="10246" max="10246" width="1.7109375" style="60" customWidth="1"/>
    <col min="10247" max="10247" width="25.42578125" style="60" customWidth="1"/>
    <col min="10248" max="10248" width="20.7109375" style="60" customWidth="1"/>
    <col min="10249" max="10249" width="1.7109375" style="60" customWidth="1"/>
    <col min="10250" max="10251" width="25.42578125" style="60" customWidth="1"/>
    <col min="10252" max="10252" width="20.7109375" style="60" customWidth="1"/>
    <col min="10253" max="10253" width="1.7109375" style="60" customWidth="1"/>
    <col min="10254" max="10254" width="41.5703125" style="60" customWidth="1"/>
    <col min="10255" max="10255" width="11.5703125" style="60" customWidth="1"/>
    <col min="10256" max="10256" width="23" style="60" customWidth="1"/>
    <col min="10257" max="10260" width="18.7109375" style="60" customWidth="1"/>
    <col min="10261" max="10261" width="1.7109375" style="60" customWidth="1"/>
    <col min="10262" max="10487" width="9.140625" style="60"/>
    <col min="10488" max="10488" width="40" style="60" customWidth="1"/>
    <col min="10489" max="10489" width="11.5703125" style="60" customWidth="1"/>
    <col min="10490" max="10490" width="24" style="60" customWidth="1"/>
    <col min="10491" max="10494" width="15.85546875" style="60" customWidth="1"/>
    <col min="10495" max="10495" width="1.7109375" style="60" customWidth="1"/>
    <col min="10496" max="10497" width="26" style="60" customWidth="1"/>
    <col min="10498" max="10498" width="1.7109375" style="60" customWidth="1"/>
    <col min="10499" max="10501" width="18.7109375" style="60" customWidth="1"/>
    <col min="10502" max="10502" width="1.7109375" style="60" customWidth="1"/>
    <col min="10503" max="10503" width="25.42578125" style="60" customWidth="1"/>
    <col min="10504" max="10504" width="20.7109375" style="60" customWidth="1"/>
    <col min="10505" max="10505" width="1.7109375" style="60" customWidth="1"/>
    <col min="10506" max="10507" width="25.42578125" style="60" customWidth="1"/>
    <col min="10508" max="10508" width="20.7109375" style="60" customWidth="1"/>
    <col min="10509" max="10509" width="1.7109375" style="60" customWidth="1"/>
    <col min="10510" max="10510" width="41.5703125" style="60" customWidth="1"/>
    <col min="10511" max="10511" width="11.5703125" style="60" customWidth="1"/>
    <col min="10512" max="10512" width="23" style="60" customWidth="1"/>
    <col min="10513" max="10516" width="18.7109375" style="60" customWidth="1"/>
    <col min="10517" max="10517" width="1.7109375" style="60" customWidth="1"/>
    <col min="10518" max="10743" width="9.140625" style="60"/>
    <col min="10744" max="10744" width="40" style="60" customWidth="1"/>
    <col min="10745" max="10745" width="11.5703125" style="60" customWidth="1"/>
    <col min="10746" max="10746" width="24" style="60" customWidth="1"/>
    <col min="10747" max="10750" width="15.85546875" style="60" customWidth="1"/>
    <col min="10751" max="10751" width="1.7109375" style="60" customWidth="1"/>
    <col min="10752" max="10753" width="26" style="60" customWidth="1"/>
    <col min="10754" max="10754" width="1.7109375" style="60" customWidth="1"/>
    <col min="10755" max="10757" width="18.7109375" style="60" customWidth="1"/>
    <col min="10758" max="10758" width="1.7109375" style="60" customWidth="1"/>
    <col min="10759" max="10759" width="25.42578125" style="60" customWidth="1"/>
    <col min="10760" max="10760" width="20.7109375" style="60" customWidth="1"/>
    <col min="10761" max="10761" width="1.7109375" style="60" customWidth="1"/>
    <col min="10762" max="10763" width="25.42578125" style="60" customWidth="1"/>
    <col min="10764" max="10764" width="20.7109375" style="60" customWidth="1"/>
    <col min="10765" max="10765" width="1.7109375" style="60" customWidth="1"/>
    <col min="10766" max="10766" width="41.5703125" style="60" customWidth="1"/>
    <col min="10767" max="10767" width="11.5703125" style="60" customWidth="1"/>
    <col min="10768" max="10768" width="23" style="60" customWidth="1"/>
    <col min="10769" max="10772" width="18.7109375" style="60" customWidth="1"/>
    <col min="10773" max="10773" width="1.7109375" style="60" customWidth="1"/>
    <col min="10774" max="10999" width="9.140625" style="60"/>
    <col min="11000" max="11000" width="40" style="60" customWidth="1"/>
    <col min="11001" max="11001" width="11.5703125" style="60" customWidth="1"/>
    <col min="11002" max="11002" width="24" style="60" customWidth="1"/>
    <col min="11003" max="11006" width="15.85546875" style="60" customWidth="1"/>
    <col min="11007" max="11007" width="1.7109375" style="60" customWidth="1"/>
    <col min="11008" max="11009" width="26" style="60" customWidth="1"/>
    <col min="11010" max="11010" width="1.7109375" style="60" customWidth="1"/>
    <col min="11011" max="11013" width="18.7109375" style="60" customWidth="1"/>
    <col min="11014" max="11014" width="1.7109375" style="60" customWidth="1"/>
    <col min="11015" max="11015" width="25.42578125" style="60" customWidth="1"/>
    <col min="11016" max="11016" width="20.7109375" style="60" customWidth="1"/>
    <col min="11017" max="11017" width="1.7109375" style="60" customWidth="1"/>
    <col min="11018" max="11019" width="25.42578125" style="60" customWidth="1"/>
    <col min="11020" max="11020" width="20.7109375" style="60" customWidth="1"/>
    <col min="11021" max="11021" width="1.7109375" style="60" customWidth="1"/>
    <col min="11022" max="11022" width="41.5703125" style="60" customWidth="1"/>
    <col min="11023" max="11023" width="11.5703125" style="60" customWidth="1"/>
    <col min="11024" max="11024" width="23" style="60" customWidth="1"/>
    <col min="11025" max="11028" width="18.7109375" style="60" customWidth="1"/>
    <col min="11029" max="11029" width="1.7109375" style="60" customWidth="1"/>
    <col min="11030" max="11255" width="9.140625" style="60"/>
    <col min="11256" max="11256" width="40" style="60" customWidth="1"/>
    <col min="11257" max="11257" width="11.5703125" style="60" customWidth="1"/>
    <col min="11258" max="11258" width="24" style="60" customWidth="1"/>
    <col min="11259" max="11262" width="15.85546875" style="60" customWidth="1"/>
    <col min="11263" max="11263" width="1.7109375" style="60" customWidth="1"/>
    <col min="11264" max="11265" width="26" style="60" customWidth="1"/>
    <col min="11266" max="11266" width="1.7109375" style="60" customWidth="1"/>
    <col min="11267" max="11269" width="18.7109375" style="60" customWidth="1"/>
    <col min="11270" max="11270" width="1.7109375" style="60" customWidth="1"/>
    <col min="11271" max="11271" width="25.42578125" style="60" customWidth="1"/>
    <col min="11272" max="11272" width="20.7109375" style="60" customWidth="1"/>
    <col min="11273" max="11273" width="1.7109375" style="60" customWidth="1"/>
    <col min="11274" max="11275" width="25.42578125" style="60" customWidth="1"/>
    <col min="11276" max="11276" width="20.7109375" style="60" customWidth="1"/>
    <col min="11277" max="11277" width="1.7109375" style="60" customWidth="1"/>
    <col min="11278" max="11278" width="41.5703125" style="60" customWidth="1"/>
    <col min="11279" max="11279" width="11.5703125" style="60" customWidth="1"/>
    <col min="11280" max="11280" width="23" style="60" customWidth="1"/>
    <col min="11281" max="11284" width="18.7109375" style="60" customWidth="1"/>
    <col min="11285" max="11285" width="1.7109375" style="60" customWidth="1"/>
    <col min="11286" max="11511" width="9.140625" style="60"/>
    <col min="11512" max="11512" width="40" style="60" customWidth="1"/>
    <col min="11513" max="11513" width="11.5703125" style="60" customWidth="1"/>
    <col min="11514" max="11514" width="24" style="60" customWidth="1"/>
    <col min="11515" max="11518" width="15.85546875" style="60" customWidth="1"/>
    <col min="11519" max="11519" width="1.7109375" style="60" customWidth="1"/>
    <col min="11520" max="11521" width="26" style="60" customWidth="1"/>
    <col min="11522" max="11522" width="1.7109375" style="60" customWidth="1"/>
    <col min="11523" max="11525" width="18.7109375" style="60" customWidth="1"/>
    <col min="11526" max="11526" width="1.7109375" style="60" customWidth="1"/>
    <col min="11527" max="11527" width="25.42578125" style="60" customWidth="1"/>
    <col min="11528" max="11528" width="20.7109375" style="60" customWidth="1"/>
    <col min="11529" max="11529" width="1.7109375" style="60" customWidth="1"/>
    <col min="11530" max="11531" width="25.42578125" style="60" customWidth="1"/>
    <col min="11532" max="11532" width="20.7109375" style="60" customWidth="1"/>
    <col min="11533" max="11533" width="1.7109375" style="60" customWidth="1"/>
    <col min="11534" max="11534" width="41.5703125" style="60" customWidth="1"/>
    <col min="11535" max="11535" width="11.5703125" style="60" customWidth="1"/>
    <col min="11536" max="11536" width="23" style="60" customWidth="1"/>
    <col min="11537" max="11540" width="18.7109375" style="60" customWidth="1"/>
    <col min="11541" max="11541" width="1.7109375" style="60" customWidth="1"/>
    <col min="11542" max="11767" width="9.140625" style="60"/>
    <col min="11768" max="11768" width="40" style="60" customWidth="1"/>
    <col min="11769" max="11769" width="11.5703125" style="60" customWidth="1"/>
    <col min="11770" max="11770" width="24" style="60" customWidth="1"/>
    <col min="11771" max="11774" width="15.85546875" style="60" customWidth="1"/>
    <col min="11775" max="11775" width="1.7109375" style="60" customWidth="1"/>
    <col min="11776" max="11777" width="26" style="60" customWidth="1"/>
    <col min="11778" max="11778" width="1.7109375" style="60" customWidth="1"/>
    <col min="11779" max="11781" width="18.7109375" style="60" customWidth="1"/>
    <col min="11782" max="11782" width="1.7109375" style="60" customWidth="1"/>
    <col min="11783" max="11783" width="25.42578125" style="60" customWidth="1"/>
    <col min="11784" max="11784" width="20.7109375" style="60" customWidth="1"/>
    <col min="11785" max="11785" width="1.7109375" style="60" customWidth="1"/>
    <col min="11786" max="11787" width="25.42578125" style="60" customWidth="1"/>
    <col min="11788" max="11788" width="20.7109375" style="60" customWidth="1"/>
    <col min="11789" max="11789" width="1.7109375" style="60" customWidth="1"/>
    <col min="11790" max="11790" width="41.5703125" style="60" customWidth="1"/>
    <col min="11791" max="11791" width="11.5703125" style="60" customWidth="1"/>
    <col min="11792" max="11792" width="23" style="60" customWidth="1"/>
    <col min="11793" max="11796" width="18.7109375" style="60" customWidth="1"/>
    <col min="11797" max="11797" width="1.7109375" style="60" customWidth="1"/>
    <col min="11798" max="12023" width="9.140625" style="60"/>
    <col min="12024" max="12024" width="40" style="60" customWidth="1"/>
    <col min="12025" max="12025" width="11.5703125" style="60" customWidth="1"/>
    <col min="12026" max="12026" width="24" style="60" customWidth="1"/>
    <col min="12027" max="12030" width="15.85546875" style="60" customWidth="1"/>
    <col min="12031" max="12031" width="1.7109375" style="60" customWidth="1"/>
    <col min="12032" max="12033" width="26" style="60" customWidth="1"/>
    <col min="12034" max="12034" width="1.7109375" style="60" customWidth="1"/>
    <col min="12035" max="12037" width="18.7109375" style="60" customWidth="1"/>
    <col min="12038" max="12038" width="1.7109375" style="60" customWidth="1"/>
    <col min="12039" max="12039" width="25.42578125" style="60" customWidth="1"/>
    <col min="12040" max="12040" width="20.7109375" style="60" customWidth="1"/>
    <col min="12041" max="12041" width="1.7109375" style="60" customWidth="1"/>
    <col min="12042" max="12043" width="25.42578125" style="60" customWidth="1"/>
    <col min="12044" max="12044" width="20.7109375" style="60" customWidth="1"/>
    <col min="12045" max="12045" width="1.7109375" style="60" customWidth="1"/>
    <col min="12046" max="12046" width="41.5703125" style="60" customWidth="1"/>
    <col min="12047" max="12047" width="11.5703125" style="60" customWidth="1"/>
    <col min="12048" max="12048" width="23" style="60" customWidth="1"/>
    <col min="12049" max="12052" width="18.7109375" style="60" customWidth="1"/>
    <col min="12053" max="12053" width="1.7109375" style="60" customWidth="1"/>
    <col min="12054" max="12279" width="9.140625" style="60"/>
    <col min="12280" max="12280" width="40" style="60" customWidth="1"/>
    <col min="12281" max="12281" width="11.5703125" style="60" customWidth="1"/>
    <col min="12282" max="12282" width="24" style="60" customWidth="1"/>
    <col min="12283" max="12286" width="15.85546875" style="60" customWidth="1"/>
    <col min="12287" max="12287" width="1.7109375" style="60" customWidth="1"/>
    <col min="12288" max="12289" width="26" style="60" customWidth="1"/>
    <col min="12290" max="12290" width="1.7109375" style="60" customWidth="1"/>
    <col min="12291" max="12293" width="18.7109375" style="60" customWidth="1"/>
    <col min="12294" max="12294" width="1.7109375" style="60" customWidth="1"/>
    <col min="12295" max="12295" width="25.42578125" style="60" customWidth="1"/>
    <col min="12296" max="12296" width="20.7109375" style="60" customWidth="1"/>
    <col min="12297" max="12297" width="1.7109375" style="60" customWidth="1"/>
    <col min="12298" max="12299" width="25.42578125" style="60" customWidth="1"/>
    <col min="12300" max="12300" width="20.7109375" style="60" customWidth="1"/>
    <col min="12301" max="12301" width="1.7109375" style="60" customWidth="1"/>
    <col min="12302" max="12302" width="41.5703125" style="60" customWidth="1"/>
    <col min="12303" max="12303" width="11.5703125" style="60" customWidth="1"/>
    <col min="12304" max="12304" width="23" style="60" customWidth="1"/>
    <col min="12305" max="12308" width="18.7109375" style="60" customWidth="1"/>
    <col min="12309" max="12309" width="1.7109375" style="60" customWidth="1"/>
    <col min="12310" max="12535" width="9.140625" style="60"/>
    <col min="12536" max="12536" width="40" style="60" customWidth="1"/>
    <col min="12537" max="12537" width="11.5703125" style="60" customWidth="1"/>
    <col min="12538" max="12538" width="24" style="60" customWidth="1"/>
    <col min="12539" max="12542" width="15.85546875" style="60" customWidth="1"/>
    <col min="12543" max="12543" width="1.7109375" style="60" customWidth="1"/>
    <col min="12544" max="12545" width="26" style="60" customWidth="1"/>
    <col min="12546" max="12546" width="1.7109375" style="60" customWidth="1"/>
    <col min="12547" max="12549" width="18.7109375" style="60" customWidth="1"/>
    <col min="12550" max="12550" width="1.7109375" style="60" customWidth="1"/>
    <col min="12551" max="12551" width="25.42578125" style="60" customWidth="1"/>
    <col min="12552" max="12552" width="20.7109375" style="60" customWidth="1"/>
    <col min="12553" max="12553" width="1.7109375" style="60" customWidth="1"/>
    <col min="12554" max="12555" width="25.42578125" style="60" customWidth="1"/>
    <col min="12556" max="12556" width="20.7109375" style="60" customWidth="1"/>
    <col min="12557" max="12557" width="1.7109375" style="60" customWidth="1"/>
    <col min="12558" max="12558" width="41.5703125" style="60" customWidth="1"/>
    <col min="12559" max="12559" width="11.5703125" style="60" customWidth="1"/>
    <col min="12560" max="12560" width="23" style="60" customWidth="1"/>
    <col min="12561" max="12564" width="18.7109375" style="60" customWidth="1"/>
    <col min="12565" max="12565" width="1.7109375" style="60" customWidth="1"/>
    <col min="12566" max="12791" width="9.140625" style="60"/>
    <col min="12792" max="12792" width="40" style="60" customWidth="1"/>
    <col min="12793" max="12793" width="11.5703125" style="60" customWidth="1"/>
    <col min="12794" max="12794" width="24" style="60" customWidth="1"/>
    <col min="12795" max="12798" width="15.85546875" style="60" customWidth="1"/>
    <col min="12799" max="12799" width="1.7109375" style="60" customWidth="1"/>
    <col min="12800" max="12801" width="26" style="60" customWidth="1"/>
    <col min="12802" max="12802" width="1.7109375" style="60" customWidth="1"/>
    <col min="12803" max="12805" width="18.7109375" style="60" customWidth="1"/>
    <col min="12806" max="12806" width="1.7109375" style="60" customWidth="1"/>
    <col min="12807" max="12807" width="25.42578125" style="60" customWidth="1"/>
    <col min="12808" max="12808" width="20.7109375" style="60" customWidth="1"/>
    <col min="12809" max="12809" width="1.7109375" style="60" customWidth="1"/>
    <col min="12810" max="12811" width="25.42578125" style="60" customWidth="1"/>
    <col min="12812" max="12812" width="20.7109375" style="60" customWidth="1"/>
    <col min="12813" max="12813" width="1.7109375" style="60" customWidth="1"/>
    <col min="12814" max="12814" width="41.5703125" style="60" customWidth="1"/>
    <col min="12815" max="12815" width="11.5703125" style="60" customWidth="1"/>
    <col min="12816" max="12816" width="23" style="60" customWidth="1"/>
    <col min="12817" max="12820" width="18.7109375" style="60" customWidth="1"/>
    <col min="12821" max="12821" width="1.7109375" style="60" customWidth="1"/>
    <col min="12822" max="13047" width="9.140625" style="60"/>
    <col min="13048" max="13048" width="40" style="60" customWidth="1"/>
    <col min="13049" max="13049" width="11.5703125" style="60" customWidth="1"/>
    <col min="13050" max="13050" width="24" style="60" customWidth="1"/>
    <col min="13051" max="13054" width="15.85546875" style="60" customWidth="1"/>
    <col min="13055" max="13055" width="1.7109375" style="60" customWidth="1"/>
    <col min="13056" max="13057" width="26" style="60" customWidth="1"/>
    <col min="13058" max="13058" width="1.7109375" style="60" customWidth="1"/>
    <col min="13059" max="13061" width="18.7109375" style="60" customWidth="1"/>
    <col min="13062" max="13062" width="1.7109375" style="60" customWidth="1"/>
    <col min="13063" max="13063" width="25.42578125" style="60" customWidth="1"/>
    <col min="13064" max="13064" width="20.7109375" style="60" customWidth="1"/>
    <col min="13065" max="13065" width="1.7109375" style="60" customWidth="1"/>
    <col min="13066" max="13067" width="25.42578125" style="60" customWidth="1"/>
    <col min="13068" max="13068" width="20.7109375" style="60" customWidth="1"/>
    <col min="13069" max="13069" width="1.7109375" style="60" customWidth="1"/>
    <col min="13070" max="13070" width="41.5703125" style="60" customWidth="1"/>
    <col min="13071" max="13071" width="11.5703125" style="60" customWidth="1"/>
    <col min="13072" max="13072" width="23" style="60" customWidth="1"/>
    <col min="13073" max="13076" width="18.7109375" style="60" customWidth="1"/>
    <col min="13077" max="13077" width="1.7109375" style="60" customWidth="1"/>
    <col min="13078" max="13303" width="9.140625" style="60"/>
    <col min="13304" max="13304" width="40" style="60" customWidth="1"/>
    <col min="13305" max="13305" width="11.5703125" style="60" customWidth="1"/>
    <col min="13306" max="13306" width="24" style="60" customWidth="1"/>
    <col min="13307" max="13310" width="15.85546875" style="60" customWidth="1"/>
    <col min="13311" max="13311" width="1.7109375" style="60" customWidth="1"/>
    <col min="13312" max="13313" width="26" style="60" customWidth="1"/>
    <col min="13314" max="13314" width="1.7109375" style="60" customWidth="1"/>
    <col min="13315" max="13317" width="18.7109375" style="60" customWidth="1"/>
    <col min="13318" max="13318" width="1.7109375" style="60" customWidth="1"/>
    <col min="13319" max="13319" width="25.42578125" style="60" customWidth="1"/>
    <col min="13320" max="13320" width="20.7109375" style="60" customWidth="1"/>
    <col min="13321" max="13321" width="1.7109375" style="60" customWidth="1"/>
    <col min="13322" max="13323" width="25.42578125" style="60" customWidth="1"/>
    <col min="13324" max="13324" width="20.7109375" style="60" customWidth="1"/>
    <col min="13325" max="13325" width="1.7109375" style="60" customWidth="1"/>
    <col min="13326" max="13326" width="41.5703125" style="60" customWidth="1"/>
    <col min="13327" max="13327" width="11.5703125" style="60" customWidth="1"/>
    <col min="13328" max="13328" width="23" style="60" customWidth="1"/>
    <col min="13329" max="13332" width="18.7109375" style="60" customWidth="1"/>
    <col min="13333" max="13333" width="1.7109375" style="60" customWidth="1"/>
    <col min="13334" max="13559" width="9.140625" style="60"/>
    <col min="13560" max="13560" width="40" style="60" customWidth="1"/>
    <col min="13561" max="13561" width="11.5703125" style="60" customWidth="1"/>
    <col min="13562" max="13562" width="24" style="60" customWidth="1"/>
    <col min="13563" max="13566" width="15.85546875" style="60" customWidth="1"/>
    <col min="13567" max="13567" width="1.7109375" style="60" customWidth="1"/>
    <col min="13568" max="13569" width="26" style="60" customWidth="1"/>
    <col min="13570" max="13570" width="1.7109375" style="60" customWidth="1"/>
    <col min="13571" max="13573" width="18.7109375" style="60" customWidth="1"/>
    <col min="13574" max="13574" width="1.7109375" style="60" customWidth="1"/>
    <col min="13575" max="13575" width="25.42578125" style="60" customWidth="1"/>
    <col min="13576" max="13576" width="20.7109375" style="60" customWidth="1"/>
    <col min="13577" max="13577" width="1.7109375" style="60" customWidth="1"/>
    <col min="13578" max="13579" width="25.42578125" style="60" customWidth="1"/>
    <col min="13580" max="13580" width="20.7109375" style="60" customWidth="1"/>
    <col min="13581" max="13581" width="1.7109375" style="60" customWidth="1"/>
    <col min="13582" max="13582" width="41.5703125" style="60" customWidth="1"/>
    <col min="13583" max="13583" width="11.5703125" style="60" customWidth="1"/>
    <col min="13584" max="13584" width="23" style="60" customWidth="1"/>
    <col min="13585" max="13588" width="18.7109375" style="60" customWidth="1"/>
    <col min="13589" max="13589" width="1.7109375" style="60" customWidth="1"/>
    <col min="13590" max="13815" width="9.140625" style="60"/>
    <col min="13816" max="13816" width="40" style="60" customWidth="1"/>
    <col min="13817" max="13817" width="11.5703125" style="60" customWidth="1"/>
    <col min="13818" max="13818" width="24" style="60" customWidth="1"/>
    <col min="13819" max="13822" width="15.85546875" style="60" customWidth="1"/>
    <col min="13823" max="13823" width="1.7109375" style="60" customWidth="1"/>
    <col min="13824" max="13825" width="26" style="60" customWidth="1"/>
    <col min="13826" max="13826" width="1.7109375" style="60" customWidth="1"/>
    <col min="13827" max="13829" width="18.7109375" style="60" customWidth="1"/>
    <col min="13830" max="13830" width="1.7109375" style="60" customWidth="1"/>
    <col min="13831" max="13831" width="25.42578125" style="60" customWidth="1"/>
    <col min="13832" max="13832" width="20.7109375" style="60" customWidth="1"/>
    <col min="13833" max="13833" width="1.7109375" style="60" customWidth="1"/>
    <col min="13834" max="13835" width="25.42578125" style="60" customWidth="1"/>
    <col min="13836" max="13836" width="20.7109375" style="60" customWidth="1"/>
    <col min="13837" max="13837" width="1.7109375" style="60" customWidth="1"/>
    <col min="13838" max="13838" width="41.5703125" style="60" customWidth="1"/>
    <col min="13839" max="13839" width="11.5703125" style="60" customWidth="1"/>
    <col min="13840" max="13840" width="23" style="60" customWidth="1"/>
    <col min="13841" max="13844" width="18.7109375" style="60" customWidth="1"/>
    <col min="13845" max="13845" width="1.7109375" style="60" customWidth="1"/>
    <col min="13846" max="14071" width="9.140625" style="60"/>
    <col min="14072" max="14072" width="40" style="60" customWidth="1"/>
    <col min="14073" max="14073" width="11.5703125" style="60" customWidth="1"/>
    <col min="14074" max="14074" width="24" style="60" customWidth="1"/>
    <col min="14075" max="14078" width="15.85546875" style="60" customWidth="1"/>
    <col min="14079" max="14079" width="1.7109375" style="60" customWidth="1"/>
    <col min="14080" max="14081" width="26" style="60" customWidth="1"/>
    <col min="14082" max="14082" width="1.7109375" style="60" customWidth="1"/>
    <col min="14083" max="14085" width="18.7109375" style="60" customWidth="1"/>
    <col min="14086" max="14086" width="1.7109375" style="60" customWidth="1"/>
    <col min="14087" max="14087" width="25.42578125" style="60" customWidth="1"/>
    <col min="14088" max="14088" width="20.7109375" style="60" customWidth="1"/>
    <col min="14089" max="14089" width="1.7109375" style="60" customWidth="1"/>
    <col min="14090" max="14091" width="25.42578125" style="60" customWidth="1"/>
    <col min="14092" max="14092" width="20.7109375" style="60" customWidth="1"/>
    <col min="14093" max="14093" width="1.7109375" style="60" customWidth="1"/>
    <col min="14094" max="14094" width="41.5703125" style="60" customWidth="1"/>
    <col min="14095" max="14095" width="11.5703125" style="60" customWidth="1"/>
    <col min="14096" max="14096" width="23" style="60" customWidth="1"/>
    <col min="14097" max="14100" width="18.7109375" style="60" customWidth="1"/>
    <col min="14101" max="14101" width="1.7109375" style="60" customWidth="1"/>
    <col min="14102" max="14327" width="9.140625" style="60"/>
    <col min="14328" max="14328" width="40" style="60" customWidth="1"/>
    <col min="14329" max="14329" width="11.5703125" style="60" customWidth="1"/>
    <col min="14330" max="14330" width="24" style="60" customWidth="1"/>
    <col min="14331" max="14334" width="15.85546875" style="60" customWidth="1"/>
    <col min="14335" max="14335" width="1.7109375" style="60" customWidth="1"/>
    <col min="14336" max="14337" width="26" style="60" customWidth="1"/>
    <col min="14338" max="14338" width="1.7109375" style="60" customWidth="1"/>
    <col min="14339" max="14341" width="18.7109375" style="60" customWidth="1"/>
    <col min="14342" max="14342" width="1.7109375" style="60" customWidth="1"/>
    <col min="14343" max="14343" width="25.42578125" style="60" customWidth="1"/>
    <col min="14344" max="14344" width="20.7109375" style="60" customWidth="1"/>
    <col min="14345" max="14345" width="1.7109375" style="60" customWidth="1"/>
    <col min="14346" max="14347" width="25.42578125" style="60" customWidth="1"/>
    <col min="14348" max="14348" width="20.7109375" style="60" customWidth="1"/>
    <col min="14349" max="14349" width="1.7109375" style="60" customWidth="1"/>
    <col min="14350" max="14350" width="41.5703125" style="60" customWidth="1"/>
    <col min="14351" max="14351" width="11.5703125" style="60" customWidth="1"/>
    <col min="14352" max="14352" width="23" style="60" customWidth="1"/>
    <col min="14353" max="14356" width="18.7109375" style="60" customWidth="1"/>
    <col min="14357" max="14357" width="1.7109375" style="60" customWidth="1"/>
    <col min="14358" max="14583" width="9.140625" style="60"/>
    <col min="14584" max="14584" width="40" style="60" customWidth="1"/>
    <col min="14585" max="14585" width="11.5703125" style="60" customWidth="1"/>
    <col min="14586" max="14586" width="24" style="60" customWidth="1"/>
    <col min="14587" max="14590" width="15.85546875" style="60" customWidth="1"/>
    <col min="14591" max="14591" width="1.7109375" style="60" customWidth="1"/>
    <col min="14592" max="14593" width="26" style="60" customWidth="1"/>
    <col min="14594" max="14594" width="1.7109375" style="60" customWidth="1"/>
    <col min="14595" max="14597" width="18.7109375" style="60" customWidth="1"/>
    <col min="14598" max="14598" width="1.7109375" style="60" customWidth="1"/>
    <col min="14599" max="14599" width="25.42578125" style="60" customWidth="1"/>
    <col min="14600" max="14600" width="20.7109375" style="60" customWidth="1"/>
    <col min="14601" max="14601" width="1.7109375" style="60" customWidth="1"/>
    <col min="14602" max="14603" width="25.42578125" style="60" customWidth="1"/>
    <col min="14604" max="14604" width="20.7109375" style="60" customWidth="1"/>
    <col min="14605" max="14605" width="1.7109375" style="60" customWidth="1"/>
    <col min="14606" max="14606" width="41.5703125" style="60" customWidth="1"/>
    <col min="14607" max="14607" width="11.5703125" style="60" customWidth="1"/>
    <col min="14608" max="14608" width="23" style="60" customWidth="1"/>
    <col min="14609" max="14612" width="18.7109375" style="60" customWidth="1"/>
    <col min="14613" max="14613" width="1.7109375" style="60" customWidth="1"/>
    <col min="14614" max="14839" width="9.140625" style="60"/>
    <col min="14840" max="14840" width="40" style="60" customWidth="1"/>
    <col min="14841" max="14841" width="11.5703125" style="60" customWidth="1"/>
    <col min="14842" max="14842" width="24" style="60" customWidth="1"/>
    <col min="14843" max="14846" width="15.85546875" style="60" customWidth="1"/>
    <col min="14847" max="14847" width="1.7109375" style="60" customWidth="1"/>
    <col min="14848" max="14849" width="26" style="60" customWidth="1"/>
    <col min="14850" max="14850" width="1.7109375" style="60" customWidth="1"/>
    <col min="14851" max="14853" width="18.7109375" style="60" customWidth="1"/>
    <col min="14854" max="14854" width="1.7109375" style="60" customWidth="1"/>
    <col min="14855" max="14855" width="25.42578125" style="60" customWidth="1"/>
    <col min="14856" max="14856" width="20.7109375" style="60" customWidth="1"/>
    <col min="14857" max="14857" width="1.7109375" style="60" customWidth="1"/>
    <col min="14858" max="14859" width="25.42578125" style="60" customWidth="1"/>
    <col min="14860" max="14860" width="20.7109375" style="60" customWidth="1"/>
    <col min="14861" max="14861" width="1.7109375" style="60" customWidth="1"/>
    <col min="14862" max="14862" width="41.5703125" style="60" customWidth="1"/>
    <col min="14863" max="14863" width="11.5703125" style="60" customWidth="1"/>
    <col min="14864" max="14864" width="23" style="60" customWidth="1"/>
    <col min="14865" max="14868" width="18.7109375" style="60" customWidth="1"/>
    <col min="14869" max="14869" width="1.7109375" style="60" customWidth="1"/>
    <col min="14870" max="15095" width="9.140625" style="60"/>
    <col min="15096" max="15096" width="40" style="60" customWidth="1"/>
    <col min="15097" max="15097" width="11.5703125" style="60" customWidth="1"/>
    <col min="15098" max="15098" width="24" style="60" customWidth="1"/>
    <col min="15099" max="15102" width="15.85546875" style="60" customWidth="1"/>
    <col min="15103" max="15103" width="1.7109375" style="60" customWidth="1"/>
    <col min="15104" max="15105" width="26" style="60" customWidth="1"/>
    <col min="15106" max="15106" width="1.7109375" style="60" customWidth="1"/>
    <col min="15107" max="15109" width="18.7109375" style="60" customWidth="1"/>
    <col min="15110" max="15110" width="1.7109375" style="60" customWidth="1"/>
    <col min="15111" max="15111" width="25.42578125" style="60" customWidth="1"/>
    <col min="15112" max="15112" width="20.7109375" style="60" customWidth="1"/>
    <col min="15113" max="15113" width="1.7109375" style="60" customWidth="1"/>
    <col min="15114" max="15115" width="25.42578125" style="60" customWidth="1"/>
    <col min="15116" max="15116" width="20.7109375" style="60" customWidth="1"/>
    <col min="15117" max="15117" width="1.7109375" style="60" customWidth="1"/>
    <col min="15118" max="15118" width="41.5703125" style="60" customWidth="1"/>
    <col min="15119" max="15119" width="11.5703125" style="60" customWidth="1"/>
    <col min="15120" max="15120" width="23" style="60" customWidth="1"/>
    <col min="15121" max="15124" width="18.7109375" style="60" customWidth="1"/>
    <col min="15125" max="15125" width="1.7109375" style="60" customWidth="1"/>
    <col min="15126" max="15351" width="9.140625" style="60"/>
    <col min="15352" max="15352" width="40" style="60" customWidth="1"/>
    <col min="15353" max="15353" width="11.5703125" style="60" customWidth="1"/>
    <col min="15354" max="15354" width="24" style="60" customWidth="1"/>
    <col min="15355" max="15358" width="15.85546875" style="60" customWidth="1"/>
    <col min="15359" max="15359" width="1.7109375" style="60" customWidth="1"/>
    <col min="15360" max="15361" width="26" style="60" customWidth="1"/>
    <col min="15362" max="15362" width="1.7109375" style="60" customWidth="1"/>
    <col min="15363" max="15365" width="18.7109375" style="60" customWidth="1"/>
    <col min="15366" max="15366" width="1.7109375" style="60" customWidth="1"/>
    <col min="15367" max="15367" width="25.42578125" style="60" customWidth="1"/>
    <col min="15368" max="15368" width="20.7109375" style="60" customWidth="1"/>
    <col min="15369" max="15369" width="1.7109375" style="60" customWidth="1"/>
    <col min="15370" max="15371" width="25.42578125" style="60" customWidth="1"/>
    <col min="15372" max="15372" width="20.7109375" style="60" customWidth="1"/>
    <col min="15373" max="15373" width="1.7109375" style="60" customWidth="1"/>
    <col min="15374" max="15374" width="41.5703125" style="60" customWidth="1"/>
    <col min="15375" max="15375" width="11.5703125" style="60" customWidth="1"/>
    <col min="15376" max="15376" width="23" style="60" customWidth="1"/>
    <col min="15377" max="15380" width="18.7109375" style="60" customWidth="1"/>
    <col min="15381" max="15381" width="1.7109375" style="60" customWidth="1"/>
    <col min="15382" max="15607" width="9.140625" style="60"/>
    <col min="15608" max="15608" width="40" style="60" customWidth="1"/>
    <col min="15609" max="15609" width="11.5703125" style="60" customWidth="1"/>
    <col min="15610" max="15610" width="24" style="60" customWidth="1"/>
    <col min="15611" max="15614" width="15.85546875" style="60" customWidth="1"/>
    <col min="15615" max="15615" width="1.7109375" style="60" customWidth="1"/>
    <col min="15616" max="15617" width="26" style="60" customWidth="1"/>
    <col min="15618" max="15618" width="1.7109375" style="60" customWidth="1"/>
    <col min="15619" max="15621" width="18.7109375" style="60" customWidth="1"/>
    <col min="15622" max="15622" width="1.7109375" style="60" customWidth="1"/>
    <col min="15623" max="15623" width="25.42578125" style="60" customWidth="1"/>
    <col min="15624" max="15624" width="20.7109375" style="60" customWidth="1"/>
    <col min="15625" max="15625" width="1.7109375" style="60" customWidth="1"/>
    <col min="15626" max="15627" width="25.42578125" style="60" customWidth="1"/>
    <col min="15628" max="15628" width="20.7109375" style="60" customWidth="1"/>
    <col min="15629" max="15629" width="1.7109375" style="60" customWidth="1"/>
    <col min="15630" max="15630" width="41.5703125" style="60" customWidth="1"/>
    <col min="15631" max="15631" width="11.5703125" style="60" customWidth="1"/>
    <col min="15632" max="15632" width="23" style="60" customWidth="1"/>
    <col min="15633" max="15636" width="18.7109375" style="60" customWidth="1"/>
    <col min="15637" max="15637" width="1.7109375" style="60" customWidth="1"/>
    <col min="15638" max="15863" width="9.140625" style="60"/>
    <col min="15864" max="15864" width="40" style="60" customWidth="1"/>
    <col min="15865" max="15865" width="11.5703125" style="60" customWidth="1"/>
    <col min="15866" max="15866" width="24" style="60" customWidth="1"/>
    <col min="15867" max="15870" width="15.85546875" style="60" customWidth="1"/>
    <col min="15871" max="15871" width="1.7109375" style="60" customWidth="1"/>
    <col min="15872" max="15873" width="26" style="60" customWidth="1"/>
    <col min="15874" max="15874" width="1.7109375" style="60" customWidth="1"/>
    <col min="15875" max="15877" width="18.7109375" style="60" customWidth="1"/>
    <col min="15878" max="15878" width="1.7109375" style="60" customWidth="1"/>
    <col min="15879" max="15879" width="25.42578125" style="60" customWidth="1"/>
    <col min="15880" max="15880" width="20.7109375" style="60" customWidth="1"/>
    <col min="15881" max="15881" width="1.7109375" style="60" customWidth="1"/>
    <col min="15882" max="15883" width="25.42578125" style="60" customWidth="1"/>
    <col min="15884" max="15884" width="20.7109375" style="60" customWidth="1"/>
    <col min="15885" max="15885" width="1.7109375" style="60" customWidth="1"/>
    <col min="15886" max="15886" width="41.5703125" style="60" customWidth="1"/>
    <col min="15887" max="15887" width="11.5703125" style="60" customWidth="1"/>
    <col min="15888" max="15888" width="23" style="60" customWidth="1"/>
    <col min="15889" max="15892" width="18.7109375" style="60" customWidth="1"/>
    <col min="15893" max="15893" width="1.7109375" style="60" customWidth="1"/>
    <col min="15894" max="16119" width="9.140625" style="60"/>
    <col min="16120" max="16120" width="40" style="60" customWidth="1"/>
    <col min="16121" max="16121" width="11.5703125" style="60" customWidth="1"/>
    <col min="16122" max="16122" width="24" style="60" customWidth="1"/>
    <col min="16123" max="16126" width="15.85546875" style="60" customWidth="1"/>
    <col min="16127" max="16127" width="1.7109375" style="60" customWidth="1"/>
    <col min="16128" max="16129" width="26" style="60" customWidth="1"/>
    <col min="16130" max="16130" width="1.7109375" style="60" customWidth="1"/>
    <col min="16131" max="16133" width="18.7109375" style="60" customWidth="1"/>
    <col min="16134" max="16134" width="1.7109375" style="60" customWidth="1"/>
    <col min="16135" max="16135" width="25.42578125" style="60" customWidth="1"/>
    <col min="16136" max="16136" width="20.7109375" style="60" customWidth="1"/>
    <col min="16137" max="16137" width="1.7109375" style="60" customWidth="1"/>
    <col min="16138" max="16139" width="25.42578125" style="60" customWidth="1"/>
    <col min="16140" max="16140" width="20.7109375" style="60" customWidth="1"/>
    <col min="16141" max="16141" width="1.7109375" style="60" customWidth="1"/>
    <col min="16142" max="16142" width="41.5703125" style="60" customWidth="1"/>
    <col min="16143" max="16143" width="11.5703125" style="60" customWidth="1"/>
    <col min="16144" max="16144" width="23" style="60" customWidth="1"/>
    <col min="16145" max="16148" width="18.7109375" style="60" customWidth="1"/>
    <col min="16149" max="16149" width="1.7109375" style="60" customWidth="1"/>
    <col min="16150" max="16384" width="9.140625" style="60"/>
  </cols>
  <sheetData>
    <row r="1" spans="2:21" s="57" customFormat="1" ht="81.75" customHeight="1" x14ac:dyDescent="0.25">
      <c r="B1" s="221" t="s">
        <v>351</v>
      </c>
      <c r="C1" s="222"/>
      <c r="D1" s="222"/>
      <c r="E1" s="222"/>
      <c r="F1" s="222"/>
      <c r="G1" s="222"/>
      <c r="H1" s="222"/>
      <c r="I1" s="222"/>
      <c r="J1" s="222"/>
      <c r="K1" s="222"/>
      <c r="L1" s="222"/>
      <c r="M1" s="222"/>
      <c r="N1" s="222"/>
      <c r="O1" s="222"/>
      <c r="P1" s="222"/>
      <c r="Q1" s="222"/>
      <c r="R1" s="222"/>
      <c r="S1" s="222"/>
      <c r="T1" s="222"/>
      <c r="U1" s="222"/>
    </row>
    <row r="2" spans="2:21" ht="33" customHeight="1" x14ac:dyDescent="0.3">
      <c r="B2" s="58" t="s">
        <v>352</v>
      </c>
      <c r="C2" s="224" t="s">
        <v>354</v>
      </c>
      <c r="D2" s="110"/>
      <c r="E2" s="110"/>
      <c r="F2" s="110"/>
      <c r="G2" s="110"/>
      <c r="H2" s="110"/>
      <c r="I2" s="110"/>
      <c r="J2" s="110"/>
      <c r="K2" s="59"/>
      <c r="L2" s="59"/>
      <c r="M2" s="59"/>
      <c r="N2" s="59"/>
      <c r="O2" s="59"/>
      <c r="P2" s="59"/>
      <c r="Q2" s="59"/>
      <c r="R2" s="59"/>
      <c r="S2" s="59"/>
      <c r="T2" s="59"/>
      <c r="U2" s="59"/>
    </row>
    <row r="3" spans="2:21" ht="33" customHeight="1" x14ac:dyDescent="0.3">
      <c r="B3" s="58" t="s">
        <v>230</v>
      </c>
      <c r="C3" s="111" t="s">
        <v>355</v>
      </c>
      <c r="D3" s="110"/>
      <c r="E3" s="110"/>
      <c r="F3" s="110"/>
      <c r="G3" s="110"/>
      <c r="H3" s="110"/>
      <c r="I3" s="110"/>
      <c r="J3" s="110"/>
      <c r="K3" s="59"/>
      <c r="L3" s="59"/>
      <c r="M3" s="59"/>
      <c r="N3" s="61"/>
      <c r="O3" s="61"/>
      <c r="P3" s="61"/>
      <c r="Q3" s="61"/>
      <c r="R3" s="61"/>
      <c r="S3" s="61"/>
      <c r="T3" s="61"/>
      <c r="U3" s="61"/>
    </row>
    <row r="4" spans="2:21" s="62" customFormat="1" ht="19.5" customHeight="1" x14ac:dyDescent="0.25">
      <c r="B4" s="223" t="s">
        <v>225</v>
      </c>
      <c r="C4" s="223"/>
      <c r="D4" s="223"/>
      <c r="E4" s="223"/>
      <c r="F4" s="223"/>
      <c r="G4" s="223"/>
      <c r="I4" s="223" t="s">
        <v>226</v>
      </c>
      <c r="J4" s="223"/>
      <c r="L4" s="223" t="s">
        <v>227</v>
      </c>
      <c r="M4" s="223"/>
      <c r="N4" s="223"/>
      <c r="P4" s="223" t="s">
        <v>228</v>
      </c>
      <c r="Q4" s="223"/>
      <c r="S4" s="223" t="s">
        <v>229</v>
      </c>
      <c r="T4" s="223"/>
      <c r="U4" s="223"/>
    </row>
    <row r="5" spans="2:21" s="63" customFormat="1" ht="157.5" customHeight="1" x14ac:dyDescent="0.25">
      <c r="B5" s="215" t="s">
        <v>336</v>
      </c>
      <c r="C5" s="216"/>
      <c r="D5" s="216"/>
      <c r="E5" s="216"/>
      <c r="F5" s="216"/>
      <c r="G5" s="217"/>
      <c r="I5" s="215" t="s">
        <v>317</v>
      </c>
      <c r="J5" s="217"/>
      <c r="L5" s="215" t="s">
        <v>337</v>
      </c>
      <c r="M5" s="216"/>
      <c r="N5" s="217"/>
      <c r="P5" s="215" t="s">
        <v>314</v>
      </c>
      <c r="Q5" s="217"/>
      <c r="S5" s="215" t="s">
        <v>318</v>
      </c>
      <c r="T5" s="216"/>
      <c r="U5" s="217"/>
    </row>
    <row r="6" spans="2:21" s="64" customFormat="1" ht="80.25" customHeight="1" x14ac:dyDescent="0.25">
      <c r="B6" s="218"/>
      <c r="C6" s="219"/>
      <c r="D6" s="219"/>
      <c r="E6" s="219"/>
      <c r="F6" s="219"/>
      <c r="G6" s="220"/>
      <c r="I6" s="218"/>
      <c r="J6" s="220"/>
      <c r="L6" s="218"/>
      <c r="M6" s="219"/>
      <c r="N6" s="220"/>
      <c r="P6" s="218"/>
      <c r="Q6" s="220"/>
      <c r="S6" s="218"/>
      <c r="T6" s="219"/>
      <c r="U6" s="220"/>
    </row>
    <row r="7" spans="2:21" ht="82.5" customHeight="1" x14ac:dyDescent="0.3">
      <c r="B7" s="65" t="s">
        <v>0</v>
      </c>
      <c r="C7" s="65" t="s">
        <v>176</v>
      </c>
      <c r="D7" s="65" t="s">
        <v>131</v>
      </c>
      <c r="E7" s="66" t="s">
        <v>129</v>
      </c>
      <c r="F7" s="66" t="s">
        <v>316</v>
      </c>
      <c r="G7" s="66" t="s">
        <v>315</v>
      </c>
      <c r="I7" s="66" t="s">
        <v>27</v>
      </c>
      <c r="J7" s="66" t="s">
        <v>171</v>
      </c>
      <c r="L7" s="67" t="s">
        <v>215</v>
      </c>
      <c r="M7" s="67" t="s">
        <v>210</v>
      </c>
      <c r="N7" s="67" t="s">
        <v>208</v>
      </c>
      <c r="P7" s="212" t="s">
        <v>330</v>
      </c>
      <c r="Q7" s="213"/>
      <c r="S7" s="212" t="s">
        <v>331</v>
      </c>
      <c r="T7" s="214"/>
      <c r="U7" s="213"/>
    </row>
    <row r="8" spans="2:21" ht="15" customHeight="1" x14ac:dyDescent="0.3">
      <c r="B8" s="68" t="s">
        <v>3</v>
      </c>
      <c r="C8" s="68" t="s">
        <v>196</v>
      </c>
      <c r="D8" s="69">
        <v>294</v>
      </c>
      <c r="E8" s="69">
        <v>241</v>
      </c>
      <c r="F8" s="69">
        <v>190</v>
      </c>
      <c r="G8" s="69">
        <v>157</v>
      </c>
      <c r="I8" s="70" t="s">
        <v>332</v>
      </c>
      <c r="J8" s="70">
        <v>0</v>
      </c>
      <c r="L8" s="71">
        <v>1</v>
      </c>
      <c r="M8" s="69">
        <f>L8*55</f>
        <v>55</v>
      </c>
      <c r="N8" s="69">
        <f>L8*120</f>
        <v>120</v>
      </c>
      <c r="P8" s="72"/>
      <c r="Q8" s="73"/>
      <c r="S8" s="72"/>
      <c r="T8" s="72"/>
      <c r="U8" s="73"/>
    </row>
    <row r="9" spans="2:21" ht="15" customHeight="1" x14ac:dyDescent="0.3">
      <c r="B9" s="68" t="s">
        <v>4</v>
      </c>
      <c r="C9" s="68" t="s">
        <v>196</v>
      </c>
      <c r="D9" s="69">
        <v>280</v>
      </c>
      <c r="E9" s="69">
        <v>214</v>
      </c>
      <c r="F9" s="69">
        <v>162</v>
      </c>
      <c r="G9" s="69">
        <v>131</v>
      </c>
      <c r="I9" s="70" t="s">
        <v>333</v>
      </c>
      <c r="J9" s="70">
        <v>20</v>
      </c>
      <c r="L9" s="71">
        <v>2</v>
      </c>
      <c r="M9" s="69">
        <f t="shared" ref="M9:M21" si="0">L9*55</f>
        <v>110</v>
      </c>
      <c r="N9" s="69">
        <f t="shared" ref="N9:N21" si="1">L9*120</f>
        <v>240</v>
      </c>
      <c r="P9" s="74" t="s">
        <v>335</v>
      </c>
      <c r="Q9" s="73"/>
      <c r="U9" s="73"/>
    </row>
    <row r="10" spans="2:21" x14ac:dyDescent="0.3">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3">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3">
      <c r="B12" s="68" t="s">
        <v>5</v>
      </c>
      <c r="C12" s="68" t="s">
        <v>196</v>
      </c>
      <c r="D12" s="69">
        <v>164</v>
      </c>
      <c r="E12" s="69">
        <v>137</v>
      </c>
      <c r="F12" s="69">
        <v>102</v>
      </c>
      <c r="G12" s="69">
        <v>78</v>
      </c>
      <c r="I12" s="70" t="s">
        <v>151</v>
      </c>
      <c r="J12" s="70">
        <v>360</v>
      </c>
      <c r="L12" s="71">
        <v>5</v>
      </c>
      <c r="M12" s="69">
        <f t="shared" si="0"/>
        <v>275</v>
      </c>
      <c r="N12" s="69">
        <f t="shared" si="1"/>
        <v>600</v>
      </c>
      <c r="P12" s="76" t="s">
        <v>320</v>
      </c>
    </row>
    <row r="13" spans="2:21" x14ac:dyDescent="0.3">
      <c r="B13" s="68" t="s">
        <v>40</v>
      </c>
      <c r="C13" s="68" t="s">
        <v>196</v>
      </c>
      <c r="D13" s="69">
        <v>164</v>
      </c>
      <c r="E13" s="69">
        <v>137</v>
      </c>
      <c r="F13" s="69">
        <v>102</v>
      </c>
      <c r="G13" s="69">
        <v>78</v>
      </c>
      <c r="I13" s="70" t="s">
        <v>154</v>
      </c>
      <c r="J13" s="70">
        <v>530</v>
      </c>
      <c r="L13" s="71">
        <v>6</v>
      </c>
      <c r="M13" s="69">
        <f t="shared" si="0"/>
        <v>330</v>
      </c>
      <c r="N13" s="69">
        <f t="shared" si="1"/>
        <v>720</v>
      </c>
      <c r="P13" s="76" t="s">
        <v>321</v>
      </c>
    </row>
    <row r="14" spans="2:21" x14ac:dyDescent="0.3">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3">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3">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3">
      <c r="B17" s="68" t="s">
        <v>231</v>
      </c>
      <c r="C17" s="68" t="s">
        <v>196</v>
      </c>
      <c r="D17" s="69">
        <v>88</v>
      </c>
      <c r="E17" s="69">
        <v>74</v>
      </c>
      <c r="F17" s="69">
        <v>55</v>
      </c>
      <c r="G17" s="69">
        <v>39</v>
      </c>
      <c r="J17" s="73"/>
      <c r="L17" s="71">
        <v>10</v>
      </c>
      <c r="M17" s="69">
        <f t="shared" si="0"/>
        <v>550</v>
      </c>
      <c r="N17" s="69">
        <f t="shared" si="1"/>
        <v>1200</v>
      </c>
      <c r="P17" s="76" t="s">
        <v>208</v>
      </c>
    </row>
    <row r="18" spans="2:16" ht="15" customHeight="1" x14ac:dyDescent="0.3">
      <c r="B18" s="68" t="s">
        <v>35</v>
      </c>
      <c r="C18" s="68" t="s">
        <v>196</v>
      </c>
      <c r="D18" s="69">
        <v>280</v>
      </c>
      <c r="E18" s="69">
        <v>214</v>
      </c>
      <c r="F18" s="69">
        <v>162</v>
      </c>
      <c r="G18" s="69">
        <v>131</v>
      </c>
      <c r="L18" s="71">
        <v>11</v>
      </c>
      <c r="M18" s="69">
        <f t="shared" si="0"/>
        <v>605</v>
      </c>
      <c r="N18" s="69">
        <f t="shared" si="1"/>
        <v>1320</v>
      </c>
      <c r="P18" s="76" t="s">
        <v>210</v>
      </c>
    </row>
    <row r="19" spans="2:16" x14ac:dyDescent="0.3">
      <c r="B19" s="68" t="s">
        <v>36</v>
      </c>
      <c r="C19" s="68" t="s">
        <v>196</v>
      </c>
      <c r="D19" s="69">
        <v>280</v>
      </c>
      <c r="E19" s="69">
        <v>214</v>
      </c>
      <c r="F19" s="69">
        <v>162</v>
      </c>
      <c r="G19" s="69">
        <v>131</v>
      </c>
      <c r="L19" s="71">
        <v>12</v>
      </c>
      <c r="M19" s="69">
        <f t="shared" si="0"/>
        <v>660</v>
      </c>
      <c r="N19" s="69">
        <f t="shared" si="1"/>
        <v>1440</v>
      </c>
    </row>
    <row r="20" spans="2:16" ht="18" x14ac:dyDescent="0.3">
      <c r="B20" s="68" t="s">
        <v>41</v>
      </c>
      <c r="C20" s="68" t="s">
        <v>196</v>
      </c>
      <c r="D20" s="69">
        <v>164</v>
      </c>
      <c r="E20" s="69">
        <v>137</v>
      </c>
      <c r="F20" s="69">
        <v>102</v>
      </c>
      <c r="G20" s="69">
        <v>78</v>
      </c>
      <c r="L20" s="71">
        <v>13</v>
      </c>
      <c r="M20" s="69">
        <f t="shared" si="0"/>
        <v>715</v>
      </c>
      <c r="N20" s="69">
        <f t="shared" si="1"/>
        <v>1560</v>
      </c>
      <c r="P20" s="74" t="s">
        <v>349</v>
      </c>
    </row>
    <row r="21" spans="2:16" x14ac:dyDescent="0.3">
      <c r="B21" s="68" t="s">
        <v>48</v>
      </c>
      <c r="C21" s="68" t="s">
        <v>196</v>
      </c>
      <c r="D21" s="69">
        <v>88</v>
      </c>
      <c r="E21" s="69">
        <v>74</v>
      </c>
      <c r="F21" s="69">
        <v>55</v>
      </c>
      <c r="G21" s="69">
        <v>39</v>
      </c>
      <c r="L21" s="71">
        <v>14</v>
      </c>
      <c r="M21" s="69">
        <f t="shared" si="0"/>
        <v>770</v>
      </c>
      <c r="N21" s="69">
        <f t="shared" si="1"/>
        <v>1680</v>
      </c>
      <c r="P21" s="76" t="s">
        <v>350</v>
      </c>
    </row>
    <row r="22" spans="2:16" x14ac:dyDescent="0.3">
      <c r="B22" s="68" t="s">
        <v>37</v>
      </c>
      <c r="C22" s="68" t="s">
        <v>196</v>
      </c>
      <c r="D22" s="69">
        <v>280</v>
      </c>
      <c r="E22" s="69">
        <v>214</v>
      </c>
      <c r="F22" s="69">
        <v>162</v>
      </c>
      <c r="G22" s="69">
        <v>131</v>
      </c>
      <c r="L22" s="71">
        <v>15</v>
      </c>
      <c r="M22" s="77">
        <f>((L22-$L$21)*40)+770</f>
        <v>810</v>
      </c>
      <c r="N22" s="78">
        <f>((L22-$L$21)*70)+1680</f>
        <v>1750</v>
      </c>
      <c r="P22" s="102"/>
    </row>
    <row r="23" spans="2:16" x14ac:dyDescent="0.3">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3">
      <c r="B24" s="68" t="s">
        <v>38</v>
      </c>
      <c r="C24" s="68" t="s">
        <v>196</v>
      </c>
      <c r="D24" s="69">
        <v>280</v>
      </c>
      <c r="E24" s="69">
        <v>214</v>
      </c>
      <c r="F24" s="69">
        <v>162</v>
      </c>
      <c r="G24" s="69">
        <v>131</v>
      </c>
      <c r="L24" s="71">
        <v>17</v>
      </c>
      <c r="M24" s="77">
        <f t="shared" si="2"/>
        <v>890</v>
      </c>
      <c r="N24" s="78">
        <f t="shared" si="3"/>
        <v>1890</v>
      </c>
    </row>
    <row r="25" spans="2:16" x14ac:dyDescent="0.3">
      <c r="B25" s="68" t="s">
        <v>49</v>
      </c>
      <c r="C25" s="68" t="s">
        <v>196</v>
      </c>
      <c r="D25" s="69">
        <v>88</v>
      </c>
      <c r="E25" s="69">
        <v>74</v>
      </c>
      <c r="F25" s="69">
        <v>55</v>
      </c>
      <c r="G25" s="69">
        <v>39</v>
      </c>
      <c r="L25" s="71">
        <v>18</v>
      </c>
      <c r="M25" s="77">
        <f t="shared" si="2"/>
        <v>930</v>
      </c>
      <c r="N25" s="78">
        <f t="shared" si="3"/>
        <v>1960</v>
      </c>
    </row>
    <row r="26" spans="2:16" x14ac:dyDescent="0.3">
      <c r="B26" s="68" t="s">
        <v>30</v>
      </c>
      <c r="C26" s="68" t="s">
        <v>196</v>
      </c>
      <c r="D26" s="69">
        <v>294</v>
      </c>
      <c r="E26" s="69">
        <v>241</v>
      </c>
      <c r="F26" s="69">
        <v>190</v>
      </c>
      <c r="G26" s="69">
        <v>157</v>
      </c>
      <c r="L26" s="71">
        <v>19</v>
      </c>
      <c r="M26" s="77">
        <f t="shared" si="2"/>
        <v>970</v>
      </c>
      <c r="N26" s="78">
        <f t="shared" si="3"/>
        <v>2030</v>
      </c>
    </row>
    <row r="27" spans="2:16" x14ac:dyDescent="0.3">
      <c r="B27" s="68" t="s">
        <v>50</v>
      </c>
      <c r="C27" s="68" t="s">
        <v>196</v>
      </c>
      <c r="D27" s="69">
        <v>88</v>
      </c>
      <c r="E27" s="69">
        <v>74</v>
      </c>
      <c r="F27" s="69">
        <v>55</v>
      </c>
      <c r="G27" s="69">
        <v>39</v>
      </c>
      <c r="L27" s="71">
        <v>20</v>
      </c>
      <c r="M27" s="77">
        <f t="shared" si="2"/>
        <v>1010</v>
      </c>
      <c r="N27" s="78">
        <f t="shared" si="3"/>
        <v>2100</v>
      </c>
    </row>
    <row r="28" spans="2:16" x14ac:dyDescent="0.3">
      <c r="B28" s="68" t="s">
        <v>134</v>
      </c>
      <c r="C28" s="68" t="s">
        <v>196</v>
      </c>
      <c r="D28" s="69">
        <v>294</v>
      </c>
      <c r="E28" s="69">
        <v>241</v>
      </c>
      <c r="F28" s="69">
        <v>190</v>
      </c>
      <c r="G28" s="69">
        <v>157</v>
      </c>
      <c r="L28" s="71">
        <v>21</v>
      </c>
      <c r="M28" s="77">
        <f t="shared" si="2"/>
        <v>1050</v>
      </c>
      <c r="N28" s="78">
        <f t="shared" si="3"/>
        <v>2170</v>
      </c>
    </row>
    <row r="29" spans="2:16" x14ac:dyDescent="0.3">
      <c r="B29" s="68" t="s">
        <v>42</v>
      </c>
      <c r="C29" s="68" t="s">
        <v>196</v>
      </c>
      <c r="D29" s="69">
        <v>164</v>
      </c>
      <c r="E29" s="69">
        <v>137</v>
      </c>
      <c r="F29" s="69">
        <v>102</v>
      </c>
      <c r="G29" s="69">
        <v>78</v>
      </c>
      <c r="L29" s="71">
        <v>22</v>
      </c>
      <c r="M29" s="77">
        <f t="shared" si="2"/>
        <v>1090</v>
      </c>
      <c r="N29" s="78">
        <f t="shared" si="3"/>
        <v>2240</v>
      </c>
    </row>
    <row r="30" spans="2:16" x14ac:dyDescent="0.3">
      <c r="B30" s="68" t="s">
        <v>31</v>
      </c>
      <c r="C30" s="68" t="s">
        <v>196</v>
      </c>
      <c r="D30" s="69">
        <v>294</v>
      </c>
      <c r="E30" s="69">
        <v>241</v>
      </c>
      <c r="F30" s="69">
        <v>190</v>
      </c>
      <c r="G30" s="69">
        <v>157</v>
      </c>
      <c r="L30" s="71">
        <v>23</v>
      </c>
      <c r="M30" s="77">
        <f t="shared" si="2"/>
        <v>1130</v>
      </c>
      <c r="N30" s="78">
        <f t="shared" si="3"/>
        <v>2310</v>
      </c>
    </row>
    <row r="31" spans="2:16" x14ac:dyDescent="0.3">
      <c r="B31" s="68" t="s">
        <v>32</v>
      </c>
      <c r="C31" s="68" t="s">
        <v>196</v>
      </c>
      <c r="D31" s="69">
        <v>294</v>
      </c>
      <c r="E31" s="69">
        <v>241</v>
      </c>
      <c r="F31" s="69">
        <v>190</v>
      </c>
      <c r="G31" s="69">
        <v>157</v>
      </c>
      <c r="L31" s="71">
        <v>24</v>
      </c>
      <c r="M31" s="77">
        <f t="shared" si="2"/>
        <v>1170</v>
      </c>
      <c r="N31" s="78">
        <f t="shared" si="3"/>
        <v>2380</v>
      </c>
    </row>
    <row r="32" spans="2:16" x14ac:dyDescent="0.3">
      <c r="B32" s="68" t="s">
        <v>51</v>
      </c>
      <c r="C32" s="68" t="s">
        <v>196</v>
      </c>
      <c r="D32" s="69">
        <v>88</v>
      </c>
      <c r="E32" s="69">
        <v>74</v>
      </c>
      <c r="F32" s="69">
        <v>55</v>
      </c>
      <c r="G32" s="69">
        <v>39</v>
      </c>
      <c r="L32" s="71">
        <v>25</v>
      </c>
      <c r="M32" s="77">
        <f t="shared" si="2"/>
        <v>1210</v>
      </c>
      <c r="N32" s="78">
        <f t="shared" si="3"/>
        <v>2450</v>
      </c>
    </row>
    <row r="33" spans="2:14" x14ac:dyDescent="0.3">
      <c r="B33" s="68" t="s">
        <v>43</v>
      </c>
      <c r="C33" s="68" t="s">
        <v>196</v>
      </c>
      <c r="D33" s="69">
        <v>164</v>
      </c>
      <c r="E33" s="69">
        <v>137</v>
      </c>
      <c r="F33" s="69">
        <v>102</v>
      </c>
      <c r="G33" s="69">
        <v>78</v>
      </c>
      <c r="L33" s="71">
        <v>26</v>
      </c>
      <c r="M33" s="77">
        <f t="shared" si="2"/>
        <v>1250</v>
      </c>
      <c r="N33" s="78">
        <f t="shared" si="3"/>
        <v>2520</v>
      </c>
    </row>
    <row r="34" spans="2:14" x14ac:dyDescent="0.3">
      <c r="B34" s="68" t="s">
        <v>52</v>
      </c>
      <c r="C34" s="68" t="s">
        <v>196</v>
      </c>
      <c r="D34" s="69">
        <v>88</v>
      </c>
      <c r="E34" s="69">
        <v>74</v>
      </c>
      <c r="F34" s="69">
        <v>55</v>
      </c>
      <c r="G34" s="69">
        <v>39</v>
      </c>
      <c r="L34" s="71">
        <v>27</v>
      </c>
      <c r="M34" s="77">
        <f t="shared" si="2"/>
        <v>1290</v>
      </c>
      <c r="N34" s="78">
        <f t="shared" si="3"/>
        <v>2590</v>
      </c>
    </row>
    <row r="35" spans="2:14" x14ac:dyDescent="0.3">
      <c r="B35" s="68" t="s">
        <v>98</v>
      </c>
      <c r="C35" s="68" t="s">
        <v>196</v>
      </c>
      <c r="D35" s="69">
        <v>88</v>
      </c>
      <c r="E35" s="69">
        <v>74</v>
      </c>
      <c r="F35" s="69">
        <v>55</v>
      </c>
      <c r="G35" s="69">
        <v>39</v>
      </c>
      <c r="L35" s="71">
        <v>28</v>
      </c>
      <c r="M35" s="77">
        <f t="shared" si="2"/>
        <v>1330</v>
      </c>
      <c r="N35" s="78">
        <f t="shared" si="3"/>
        <v>2660</v>
      </c>
    </row>
    <row r="36" spans="2:14" x14ac:dyDescent="0.3">
      <c r="B36" s="68" t="s">
        <v>153</v>
      </c>
      <c r="C36" s="68" t="s">
        <v>196</v>
      </c>
      <c r="D36" s="69">
        <v>88</v>
      </c>
      <c r="E36" s="69">
        <v>74</v>
      </c>
      <c r="F36" s="69">
        <v>55</v>
      </c>
      <c r="G36" s="69">
        <v>39</v>
      </c>
      <c r="L36" s="71">
        <v>29</v>
      </c>
      <c r="M36" s="77">
        <f t="shared" si="2"/>
        <v>1370</v>
      </c>
      <c r="N36" s="78">
        <f t="shared" si="3"/>
        <v>2730</v>
      </c>
    </row>
    <row r="37" spans="2:14" x14ac:dyDescent="0.3">
      <c r="B37" s="68" t="s">
        <v>44</v>
      </c>
      <c r="C37" s="68" t="s">
        <v>196</v>
      </c>
      <c r="D37" s="69">
        <v>164</v>
      </c>
      <c r="E37" s="69">
        <v>137</v>
      </c>
      <c r="F37" s="69">
        <v>102</v>
      </c>
      <c r="G37" s="69">
        <v>78</v>
      </c>
      <c r="L37" s="71">
        <v>30</v>
      </c>
      <c r="M37" s="77">
        <f t="shared" si="2"/>
        <v>1410</v>
      </c>
      <c r="N37" s="78">
        <f t="shared" si="3"/>
        <v>2800</v>
      </c>
    </row>
    <row r="38" spans="2:14" x14ac:dyDescent="0.3">
      <c r="B38" s="68" t="s">
        <v>45</v>
      </c>
      <c r="C38" s="68" t="s">
        <v>196</v>
      </c>
      <c r="D38" s="69">
        <v>164</v>
      </c>
      <c r="E38" s="69">
        <v>137</v>
      </c>
      <c r="F38" s="69">
        <v>102</v>
      </c>
      <c r="G38" s="69">
        <v>78</v>
      </c>
      <c r="L38" s="71">
        <v>31</v>
      </c>
      <c r="M38" s="77">
        <f t="shared" si="2"/>
        <v>1450</v>
      </c>
      <c r="N38" s="78">
        <f t="shared" si="3"/>
        <v>2870</v>
      </c>
    </row>
    <row r="39" spans="2:14" x14ac:dyDescent="0.3">
      <c r="B39" s="68" t="s">
        <v>33</v>
      </c>
      <c r="C39" s="68" t="s">
        <v>196</v>
      </c>
      <c r="D39" s="69">
        <v>294</v>
      </c>
      <c r="E39" s="69">
        <v>241</v>
      </c>
      <c r="F39" s="69">
        <v>190</v>
      </c>
      <c r="G39" s="69">
        <v>157</v>
      </c>
      <c r="L39" s="71">
        <v>32</v>
      </c>
      <c r="M39" s="77">
        <f t="shared" si="2"/>
        <v>1490</v>
      </c>
      <c r="N39" s="78">
        <f t="shared" si="3"/>
        <v>2940</v>
      </c>
    </row>
    <row r="40" spans="2:14" x14ac:dyDescent="0.3">
      <c r="B40" s="68" t="s">
        <v>53</v>
      </c>
      <c r="C40" s="68" t="s">
        <v>196</v>
      </c>
      <c r="D40" s="69">
        <v>88</v>
      </c>
      <c r="E40" s="69">
        <v>74</v>
      </c>
      <c r="F40" s="69">
        <v>55</v>
      </c>
      <c r="G40" s="69">
        <v>39</v>
      </c>
      <c r="L40" s="71">
        <v>33</v>
      </c>
      <c r="M40" s="77">
        <f t="shared" si="2"/>
        <v>1530</v>
      </c>
      <c r="N40" s="78">
        <f t="shared" si="3"/>
        <v>3010</v>
      </c>
    </row>
    <row r="41" spans="2:14" x14ac:dyDescent="0.3">
      <c r="B41" s="68" t="s">
        <v>39</v>
      </c>
      <c r="C41" s="68" t="s">
        <v>196</v>
      </c>
      <c r="D41" s="69">
        <v>280</v>
      </c>
      <c r="E41" s="69">
        <v>214</v>
      </c>
      <c r="F41" s="69">
        <v>162</v>
      </c>
      <c r="G41" s="69">
        <v>131</v>
      </c>
      <c r="L41" s="71">
        <v>34</v>
      </c>
      <c r="M41" s="77">
        <f t="shared" si="2"/>
        <v>1570</v>
      </c>
      <c r="N41" s="78">
        <f t="shared" si="3"/>
        <v>3080</v>
      </c>
    </row>
    <row r="42" spans="2:14" x14ac:dyDescent="0.3">
      <c r="B42" s="70" t="s">
        <v>7</v>
      </c>
      <c r="C42" s="70" t="s">
        <v>197</v>
      </c>
      <c r="D42" s="79">
        <v>77</v>
      </c>
      <c r="E42" s="79">
        <v>57</v>
      </c>
      <c r="F42" s="79">
        <v>40</v>
      </c>
      <c r="G42" s="79">
        <v>32</v>
      </c>
      <c r="L42" s="71">
        <v>35</v>
      </c>
      <c r="M42" s="77">
        <f t="shared" si="2"/>
        <v>1610</v>
      </c>
      <c r="N42" s="78">
        <f t="shared" si="3"/>
        <v>3150</v>
      </c>
    </row>
    <row r="43" spans="2:14" x14ac:dyDescent="0.3">
      <c r="B43" s="70" t="s">
        <v>55</v>
      </c>
      <c r="C43" s="70" t="s">
        <v>197</v>
      </c>
      <c r="D43" s="79">
        <v>108</v>
      </c>
      <c r="E43" s="79">
        <v>80</v>
      </c>
      <c r="F43" s="79">
        <v>57</v>
      </c>
      <c r="G43" s="79">
        <v>45</v>
      </c>
      <c r="L43" s="71">
        <v>36</v>
      </c>
      <c r="M43" s="77">
        <f t="shared" si="2"/>
        <v>1650</v>
      </c>
      <c r="N43" s="78">
        <f t="shared" si="3"/>
        <v>3220</v>
      </c>
    </row>
    <row r="44" spans="2:14" x14ac:dyDescent="0.3">
      <c r="B44" s="70" t="s">
        <v>56</v>
      </c>
      <c r="C44" s="70" t="s">
        <v>197</v>
      </c>
      <c r="D44" s="79">
        <v>47</v>
      </c>
      <c r="E44" s="79">
        <v>33</v>
      </c>
      <c r="F44" s="79">
        <v>22</v>
      </c>
      <c r="G44" s="79">
        <v>17</v>
      </c>
      <c r="L44" s="71">
        <v>37</v>
      </c>
      <c r="M44" s="77">
        <f t="shared" si="2"/>
        <v>1690</v>
      </c>
      <c r="N44" s="78">
        <f t="shared" si="3"/>
        <v>3290</v>
      </c>
    </row>
    <row r="45" spans="2:14" x14ac:dyDescent="0.3">
      <c r="B45" s="70" t="s">
        <v>232</v>
      </c>
      <c r="C45" s="70" t="s">
        <v>197</v>
      </c>
      <c r="D45" s="79">
        <v>108</v>
      </c>
      <c r="E45" s="79">
        <v>80</v>
      </c>
      <c r="F45" s="79">
        <v>57</v>
      </c>
      <c r="G45" s="79">
        <v>45</v>
      </c>
      <c r="L45" s="71">
        <v>38</v>
      </c>
      <c r="M45" s="77">
        <f t="shared" si="2"/>
        <v>1730</v>
      </c>
      <c r="N45" s="78">
        <f t="shared" si="3"/>
        <v>3360</v>
      </c>
    </row>
    <row r="46" spans="2:14" x14ac:dyDescent="0.3">
      <c r="B46" s="70" t="s">
        <v>233</v>
      </c>
      <c r="C46" s="70" t="s">
        <v>197</v>
      </c>
      <c r="D46" s="79">
        <v>108</v>
      </c>
      <c r="E46" s="79">
        <v>80</v>
      </c>
      <c r="F46" s="79">
        <v>57</v>
      </c>
      <c r="G46" s="79">
        <v>45</v>
      </c>
      <c r="L46" s="71">
        <v>39</v>
      </c>
      <c r="M46" s="77">
        <f t="shared" si="2"/>
        <v>1770</v>
      </c>
      <c r="N46" s="78">
        <f t="shared" si="3"/>
        <v>3430</v>
      </c>
    </row>
    <row r="47" spans="2:14" x14ac:dyDescent="0.3">
      <c r="B47" s="70" t="s">
        <v>57</v>
      </c>
      <c r="C47" s="70" t="s">
        <v>197</v>
      </c>
      <c r="D47" s="79">
        <v>108</v>
      </c>
      <c r="E47" s="79">
        <v>80</v>
      </c>
      <c r="F47" s="79">
        <v>57</v>
      </c>
      <c r="G47" s="79">
        <v>45</v>
      </c>
      <c r="L47" s="71">
        <v>40</v>
      </c>
      <c r="M47" s="77">
        <f t="shared" si="2"/>
        <v>1810</v>
      </c>
      <c r="N47" s="78">
        <f t="shared" si="3"/>
        <v>3500</v>
      </c>
    </row>
    <row r="48" spans="2:14" x14ac:dyDescent="0.3">
      <c r="B48" s="70" t="s">
        <v>58</v>
      </c>
      <c r="C48" s="70" t="s">
        <v>197</v>
      </c>
      <c r="D48" s="79">
        <v>47</v>
      </c>
      <c r="E48" s="79">
        <v>33</v>
      </c>
      <c r="F48" s="79">
        <v>22</v>
      </c>
      <c r="G48" s="79">
        <v>17</v>
      </c>
      <c r="L48" s="71">
        <v>41</v>
      </c>
      <c r="M48" s="77">
        <f t="shared" si="2"/>
        <v>1850</v>
      </c>
      <c r="N48" s="78">
        <f t="shared" si="3"/>
        <v>3570</v>
      </c>
    </row>
    <row r="49" spans="2:14" x14ac:dyDescent="0.3">
      <c r="B49" s="70" t="s">
        <v>59</v>
      </c>
      <c r="C49" s="70" t="s">
        <v>197</v>
      </c>
      <c r="D49" s="79">
        <v>77</v>
      </c>
      <c r="E49" s="79">
        <v>57</v>
      </c>
      <c r="F49" s="79">
        <v>40</v>
      </c>
      <c r="G49" s="79">
        <v>32</v>
      </c>
      <c r="L49" s="71">
        <v>42</v>
      </c>
      <c r="M49" s="77">
        <f t="shared" si="2"/>
        <v>1890</v>
      </c>
      <c r="N49" s="78">
        <f t="shared" si="3"/>
        <v>3640</v>
      </c>
    </row>
    <row r="50" spans="2:14" x14ac:dyDescent="0.3">
      <c r="B50" s="70" t="s">
        <v>234</v>
      </c>
      <c r="C50" s="70" t="s">
        <v>197</v>
      </c>
      <c r="D50" s="79">
        <v>77</v>
      </c>
      <c r="E50" s="79">
        <v>57</v>
      </c>
      <c r="F50" s="79">
        <v>40</v>
      </c>
      <c r="G50" s="79">
        <v>32</v>
      </c>
      <c r="L50" s="71">
        <v>43</v>
      </c>
      <c r="M50" s="77">
        <f t="shared" si="2"/>
        <v>1930</v>
      </c>
      <c r="N50" s="78">
        <f t="shared" si="3"/>
        <v>3710</v>
      </c>
    </row>
    <row r="51" spans="2:14" x14ac:dyDescent="0.3">
      <c r="B51" s="70" t="s">
        <v>60</v>
      </c>
      <c r="C51" s="70" t="s">
        <v>197</v>
      </c>
      <c r="D51" s="79">
        <v>47</v>
      </c>
      <c r="E51" s="79">
        <v>33</v>
      </c>
      <c r="F51" s="79">
        <v>22</v>
      </c>
      <c r="G51" s="79">
        <v>17</v>
      </c>
      <c r="L51" s="71">
        <v>44</v>
      </c>
      <c r="M51" s="77">
        <f t="shared" si="2"/>
        <v>1970</v>
      </c>
      <c r="N51" s="78">
        <f t="shared" si="3"/>
        <v>3780</v>
      </c>
    </row>
    <row r="52" spans="2:14" x14ac:dyDescent="0.3">
      <c r="B52" s="70" t="s">
        <v>235</v>
      </c>
      <c r="C52" s="70" t="s">
        <v>197</v>
      </c>
      <c r="D52" s="79">
        <v>108</v>
      </c>
      <c r="E52" s="79">
        <v>80</v>
      </c>
      <c r="F52" s="79">
        <v>57</v>
      </c>
      <c r="G52" s="79">
        <v>45</v>
      </c>
      <c r="L52" s="71">
        <v>45</v>
      </c>
      <c r="M52" s="77">
        <f t="shared" si="2"/>
        <v>2010</v>
      </c>
      <c r="N52" s="78">
        <f t="shared" si="3"/>
        <v>3850</v>
      </c>
    </row>
    <row r="53" spans="2:14" x14ac:dyDescent="0.3">
      <c r="B53" s="70" t="s">
        <v>61</v>
      </c>
      <c r="C53" s="70" t="s">
        <v>197</v>
      </c>
      <c r="D53" s="79">
        <v>47</v>
      </c>
      <c r="E53" s="79">
        <v>33</v>
      </c>
      <c r="F53" s="79">
        <v>22</v>
      </c>
      <c r="G53" s="79">
        <v>17</v>
      </c>
      <c r="L53" s="71">
        <v>46</v>
      </c>
      <c r="M53" s="77">
        <f t="shared" si="2"/>
        <v>2050</v>
      </c>
      <c r="N53" s="78">
        <f t="shared" si="3"/>
        <v>3920</v>
      </c>
    </row>
    <row r="54" spans="2:14" x14ac:dyDescent="0.3">
      <c r="B54" s="70" t="s">
        <v>236</v>
      </c>
      <c r="C54" s="70" t="s">
        <v>197</v>
      </c>
      <c r="D54" s="79">
        <v>47</v>
      </c>
      <c r="E54" s="79">
        <v>33</v>
      </c>
      <c r="F54" s="79">
        <v>22</v>
      </c>
      <c r="G54" s="79">
        <v>17</v>
      </c>
      <c r="L54" s="71">
        <v>47</v>
      </c>
      <c r="M54" s="77">
        <f t="shared" si="2"/>
        <v>2090</v>
      </c>
      <c r="N54" s="78">
        <f t="shared" si="3"/>
        <v>3990</v>
      </c>
    </row>
    <row r="55" spans="2:14" x14ac:dyDescent="0.3">
      <c r="B55" s="70" t="s">
        <v>237</v>
      </c>
      <c r="C55" s="70" t="s">
        <v>197</v>
      </c>
      <c r="D55" s="79">
        <v>47</v>
      </c>
      <c r="E55" s="79">
        <v>33</v>
      </c>
      <c r="F55" s="79">
        <v>22</v>
      </c>
      <c r="G55" s="79">
        <v>17</v>
      </c>
      <c r="L55" s="71">
        <v>48</v>
      </c>
      <c r="M55" s="77">
        <f t="shared" si="2"/>
        <v>2130</v>
      </c>
      <c r="N55" s="78">
        <f t="shared" si="3"/>
        <v>4060</v>
      </c>
    </row>
    <row r="56" spans="2:14" x14ac:dyDescent="0.3">
      <c r="B56" s="70" t="s">
        <v>62</v>
      </c>
      <c r="C56" s="70" t="s">
        <v>197</v>
      </c>
      <c r="D56" s="79">
        <v>47</v>
      </c>
      <c r="E56" s="79">
        <v>33</v>
      </c>
      <c r="F56" s="79">
        <v>22</v>
      </c>
      <c r="G56" s="79">
        <v>17</v>
      </c>
      <c r="L56" s="71">
        <v>49</v>
      </c>
      <c r="M56" s="77">
        <f t="shared" si="2"/>
        <v>2170</v>
      </c>
      <c r="N56" s="78">
        <f t="shared" si="3"/>
        <v>4130</v>
      </c>
    </row>
    <row r="57" spans="2:14" x14ac:dyDescent="0.3">
      <c r="B57" s="70" t="s">
        <v>63</v>
      </c>
      <c r="C57" s="70" t="s">
        <v>197</v>
      </c>
      <c r="D57" s="79">
        <v>77</v>
      </c>
      <c r="E57" s="79">
        <v>57</v>
      </c>
      <c r="F57" s="79">
        <v>40</v>
      </c>
      <c r="G57" s="79">
        <v>32</v>
      </c>
      <c r="L57" s="71">
        <v>50</v>
      </c>
      <c r="M57" s="77">
        <f t="shared" si="2"/>
        <v>2210</v>
      </c>
      <c r="N57" s="78">
        <f t="shared" si="3"/>
        <v>4200</v>
      </c>
    </row>
    <row r="58" spans="2:14" x14ac:dyDescent="0.3">
      <c r="B58" s="70" t="s">
        <v>64</v>
      </c>
      <c r="C58" s="70" t="s">
        <v>197</v>
      </c>
      <c r="D58" s="79">
        <v>108</v>
      </c>
      <c r="E58" s="79">
        <v>80</v>
      </c>
      <c r="F58" s="79">
        <v>57</v>
      </c>
      <c r="G58" s="79">
        <v>45</v>
      </c>
      <c r="L58" s="71">
        <v>51</v>
      </c>
      <c r="M58" s="77">
        <f t="shared" si="2"/>
        <v>2250</v>
      </c>
      <c r="N58" s="78">
        <f t="shared" si="3"/>
        <v>4270</v>
      </c>
    </row>
    <row r="59" spans="2:14" x14ac:dyDescent="0.3">
      <c r="B59" s="70" t="s">
        <v>238</v>
      </c>
      <c r="C59" s="70" t="s">
        <v>197</v>
      </c>
      <c r="D59" s="79">
        <v>47</v>
      </c>
      <c r="E59" s="79">
        <v>33</v>
      </c>
      <c r="F59" s="79">
        <v>22</v>
      </c>
      <c r="G59" s="79">
        <v>17</v>
      </c>
      <c r="L59" s="71">
        <v>52</v>
      </c>
      <c r="M59" s="77">
        <f t="shared" si="2"/>
        <v>2290</v>
      </c>
      <c r="N59" s="78">
        <f t="shared" si="3"/>
        <v>4340</v>
      </c>
    </row>
    <row r="60" spans="2:14" x14ac:dyDescent="0.3">
      <c r="B60" s="70" t="s">
        <v>65</v>
      </c>
      <c r="C60" s="70" t="s">
        <v>197</v>
      </c>
      <c r="D60" s="79">
        <v>108</v>
      </c>
      <c r="E60" s="79">
        <v>80</v>
      </c>
      <c r="F60" s="79">
        <v>57</v>
      </c>
      <c r="G60" s="79">
        <v>45</v>
      </c>
      <c r="L60" s="71">
        <v>53</v>
      </c>
      <c r="M60" s="77">
        <f t="shared" si="2"/>
        <v>2330</v>
      </c>
      <c r="N60" s="78">
        <f t="shared" si="3"/>
        <v>4410</v>
      </c>
    </row>
    <row r="61" spans="2:14" x14ac:dyDescent="0.3">
      <c r="B61" s="70" t="s">
        <v>239</v>
      </c>
      <c r="C61" s="70" t="s">
        <v>197</v>
      </c>
      <c r="D61" s="79">
        <v>77</v>
      </c>
      <c r="E61" s="79">
        <v>57</v>
      </c>
      <c r="F61" s="79">
        <v>40</v>
      </c>
      <c r="G61" s="79">
        <v>32</v>
      </c>
      <c r="L61" s="71">
        <v>54</v>
      </c>
      <c r="M61" s="77">
        <f t="shared" si="2"/>
        <v>2370</v>
      </c>
      <c r="N61" s="78">
        <f t="shared" si="3"/>
        <v>4480</v>
      </c>
    </row>
    <row r="62" spans="2:14" x14ac:dyDescent="0.3">
      <c r="B62" s="70" t="s">
        <v>240</v>
      </c>
      <c r="C62" s="70" t="s">
        <v>197</v>
      </c>
      <c r="D62" s="79">
        <v>47</v>
      </c>
      <c r="E62" s="79">
        <v>33</v>
      </c>
      <c r="F62" s="79">
        <v>22</v>
      </c>
      <c r="G62" s="79">
        <v>17</v>
      </c>
      <c r="L62" s="71">
        <v>55</v>
      </c>
      <c r="M62" s="77">
        <f t="shared" si="2"/>
        <v>2410</v>
      </c>
      <c r="N62" s="78">
        <f t="shared" si="3"/>
        <v>4550</v>
      </c>
    </row>
    <row r="63" spans="2:14" x14ac:dyDescent="0.3">
      <c r="B63" s="70" t="s">
        <v>66</v>
      </c>
      <c r="C63" s="70" t="s">
        <v>197</v>
      </c>
      <c r="D63" s="79">
        <v>47</v>
      </c>
      <c r="E63" s="79">
        <v>33</v>
      </c>
      <c r="F63" s="79">
        <v>22</v>
      </c>
      <c r="G63" s="79">
        <v>17</v>
      </c>
      <c r="L63" s="71">
        <v>56</v>
      </c>
      <c r="M63" s="77">
        <f t="shared" si="2"/>
        <v>2450</v>
      </c>
      <c r="N63" s="78">
        <f t="shared" si="3"/>
        <v>4620</v>
      </c>
    </row>
    <row r="64" spans="2:14" x14ac:dyDescent="0.3">
      <c r="B64" s="70" t="s">
        <v>241</v>
      </c>
      <c r="C64" s="70" t="s">
        <v>197</v>
      </c>
      <c r="D64" s="79">
        <v>77</v>
      </c>
      <c r="E64" s="79">
        <v>57</v>
      </c>
      <c r="F64" s="79">
        <v>40</v>
      </c>
      <c r="G64" s="79">
        <v>32</v>
      </c>
      <c r="L64" s="71">
        <v>57</v>
      </c>
      <c r="M64" s="77">
        <f t="shared" si="2"/>
        <v>2490</v>
      </c>
      <c r="N64" s="78">
        <f t="shared" si="3"/>
        <v>4690</v>
      </c>
    </row>
    <row r="65" spans="2:14" x14ac:dyDescent="0.3">
      <c r="B65" s="70" t="s">
        <v>242</v>
      </c>
      <c r="C65" s="70" t="s">
        <v>197</v>
      </c>
      <c r="D65" s="79">
        <v>47</v>
      </c>
      <c r="E65" s="79">
        <v>33</v>
      </c>
      <c r="F65" s="79">
        <v>22</v>
      </c>
      <c r="G65" s="79">
        <v>17</v>
      </c>
      <c r="L65" s="71">
        <v>58</v>
      </c>
      <c r="M65" s="77">
        <f t="shared" si="2"/>
        <v>2530</v>
      </c>
      <c r="N65" s="78">
        <f t="shared" si="3"/>
        <v>4760</v>
      </c>
    </row>
    <row r="66" spans="2:14" x14ac:dyDescent="0.3">
      <c r="B66" s="70" t="s">
        <v>243</v>
      </c>
      <c r="C66" s="70" t="s">
        <v>197</v>
      </c>
      <c r="D66" s="79">
        <v>47</v>
      </c>
      <c r="E66" s="79">
        <v>33</v>
      </c>
      <c r="F66" s="79">
        <v>22</v>
      </c>
      <c r="G66" s="79">
        <v>17</v>
      </c>
      <c r="L66" s="71">
        <v>59</v>
      </c>
      <c r="M66" s="77">
        <f t="shared" si="2"/>
        <v>2570</v>
      </c>
      <c r="N66" s="78">
        <f t="shared" si="3"/>
        <v>4830</v>
      </c>
    </row>
    <row r="67" spans="2:14" x14ac:dyDescent="0.3">
      <c r="B67" s="70" t="s">
        <v>244</v>
      </c>
      <c r="C67" s="70" t="s">
        <v>197</v>
      </c>
      <c r="D67" s="79">
        <v>47</v>
      </c>
      <c r="E67" s="79">
        <v>33</v>
      </c>
      <c r="F67" s="79">
        <v>22</v>
      </c>
      <c r="G67" s="79">
        <v>17</v>
      </c>
      <c r="L67" s="71">
        <v>60</v>
      </c>
      <c r="M67" s="77">
        <f t="shared" si="2"/>
        <v>2610</v>
      </c>
      <c r="N67" s="78">
        <f t="shared" si="3"/>
        <v>4900</v>
      </c>
    </row>
    <row r="68" spans="2:14" x14ac:dyDescent="0.3">
      <c r="B68" s="70" t="s">
        <v>67</v>
      </c>
      <c r="C68" s="70" t="s">
        <v>197</v>
      </c>
      <c r="D68" s="79">
        <v>77</v>
      </c>
      <c r="E68" s="79">
        <v>57</v>
      </c>
      <c r="F68" s="79">
        <v>40</v>
      </c>
      <c r="G68" s="79">
        <v>32</v>
      </c>
      <c r="L68" s="80">
        <v>61</v>
      </c>
      <c r="M68" s="77">
        <f t="shared" si="2"/>
        <v>2650</v>
      </c>
      <c r="N68" s="81">
        <f>((L68-$L$67)*50)+4900</f>
        <v>4950</v>
      </c>
    </row>
    <row r="69" spans="2:14" x14ac:dyDescent="0.3">
      <c r="B69" s="70" t="s">
        <v>68</v>
      </c>
      <c r="C69" s="70" t="s">
        <v>197</v>
      </c>
      <c r="D69" s="79">
        <v>108</v>
      </c>
      <c r="E69" s="79">
        <v>80</v>
      </c>
      <c r="F69" s="79">
        <v>57</v>
      </c>
      <c r="G69" s="79">
        <v>45</v>
      </c>
      <c r="L69" s="71">
        <v>62</v>
      </c>
      <c r="M69" s="77">
        <f t="shared" si="2"/>
        <v>2690</v>
      </c>
      <c r="N69" s="81">
        <f t="shared" ref="N69:N97" si="4">((L69-$L$67)*50)+4900</f>
        <v>5000</v>
      </c>
    </row>
    <row r="70" spans="2:14" x14ac:dyDescent="0.3">
      <c r="B70" s="70" t="s">
        <v>245</v>
      </c>
      <c r="C70" s="70" t="s">
        <v>197</v>
      </c>
      <c r="D70" s="79">
        <v>108</v>
      </c>
      <c r="E70" s="79">
        <v>80</v>
      </c>
      <c r="F70" s="79">
        <v>57</v>
      </c>
      <c r="G70" s="79">
        <v>45</v>
      </c>
      <c r="L70" s="71">
        <v>63</v>
      </c>
      <c r="M70" s="77">
        <f t="shared" si="2"/>
        <v>2730</v>
      </c>
      <c r="N70" s="81">
        <f t="shared" si="4"/>
        <v>5050</v>
      </c>
    </row>
    <row r="71" spans="2:14" x14ac:dyDescent="0.3">
      <c r="B71" s="70" t="s">
        <v>246</v>
      </c>
      <c r="C71" s="70" t="s">
        <v>197</v>
      </c>
      <c r="D71" s="79">
        <v>77</v>
      </c>
      <c r="E71" s="79">
        <v>57</v>
      </c>
      <c r="F71" s="79">
        <v>40</v>
      </c>
      <c r="G71" s="79">
        <v>32</v>
      </c>
      <c r="L71" s="71">
        <v>64</v>
      </c>
      <c r="M71" s="77">
        <f t="shared" si="2"/>
        <v>2770</v>
      </c>
      <c r="N71" s="81">
        <f t="shared" si="4"/>
        <v>5100</v>
      </c>
    </row>
    <row r="72" spans="2:14" x14ac:dyDescent="0.3">
      <c r="B72" s="70" t="s">
        <v>327</v>
      </c>
      <c r="C72" s="70" t="s">
        <v>197</v>
      </c>
      <c r="D72" s="79">
        <v>47</v>
      </c>
      <c r="E72" s="79">
        <v>33</v>
      </c>
      <c r="F72" s="79">
        <v>22</v>
      </c>
      <c r="G72" s="79">
        <v>17</v>
      </c>
      <c r="L72" s="71">
        <v>65</v>
      </c>
      <c r="M72" s="77">
        <f t="shared" si="2"/>
        <v>2810</v>
      </c>
      <c r="N72" s="81">
        <f t="shared" si="4"/>
        <v>5150</v>
      </c>
    </row>
    <row r="73" spans="2:14" x14ac:dyDescent="0.3">
      <c r="B73" s="70" t="s">
        <v>247</v>
      </c>
      <c r="C73" s="70" t="s">
        <v>197</v>
      </c>
      <c r="D73" s="79">
        <v>108</v>
      </c>
      <c r="E73" s="79">
        <v>80</v>
      </c>
      <c r="F73" s="79">
        <v>57</v>
      </c>
      <c r="G73" s="79">
        <v>45</v>
      </c>
      <c r="L73" s="71">
        <v>66</v>
      </c>
      <c r="M73" s="77">
        <f t="shared" si="2"/>
        <v>2850</v>
      </c>
      <c r="N73" s="81">
        <f t="shared" si="4"/>
        <v>5200</v>
      </c>
    </row>
    <row r="74" spans="2:14" x14ac:dyDescent="0.3">
      <c r="B74" s="70" t="s">
        <v>69</v>
      </c>
      <c r="C74" s="70" t="s">
        <v>197</v>
      </c>
      <c r="D74" s="79">
        <v>77</v>
      </c>
      <c r="E74" s="79">
        <v>57</v>
      </c>
      <c r="F74" s="79">
        <v>40</v>
      </c>
      <c r="G74" s="79">
        <v>32</v>
      </c>
      <c r="L74" s="71">
        <v>67</v>
      </c>
      <c r="M74" s="77">
        <f t="shared" si="2"/>
        <v>2890</v>
      </c>
      <c r="N74" s="81">
        <f t="shared" si="4"/>
        <v>5250</v>
      </c>
    </row>
    <row r="75" spans="2:14" x14ac:dyDescent="0.3">
      <c r="B75" s="70" t="s">
        <v>70</v>
      </c>
      <c r="C75" s="70" t="s">
        <v>197</v>
      </c>
      <c r="D75" s="79">
        <v>47</v>
      </c>
      <c r="E75" s="79">
        <v>33</v>
      </c>
      <c r="F75" s="79">
        <v>22</v>
      </c>
      <c r="G75" s="79">
        <v>17</v>
      </c>
      <c r="L75" s="71">
        <v>68</v>
      </c>
      <c r="M75" s="77">
        <f t="shared" si="2"/>
        <v>2930</v>
      </c>
      <c r="N75" s="81">
        <f t="shared" si="4"/>
        <v>5300</v>
      </c>
    </row>
    <row r="76" spans="2:14" x14ac:dyDescent="0.3">
      <c r="B76" s="70" t="s">
        <v>248</v>
      </c>
      <c r="C76" s="70" t="s">
        <v>197</v>
      </c>
      <c r="D76" s="79">
        <v>77</v>
      </c>
      <c r="E76" s="79">
        <v>57</v>
      </c>
      <c r="F76" s="79">
        <v>40</v>
      </c>
      <c r="G76" s="79">
        <v>32</v>
      </c>
      <c r="L76" s="71">
        <v>69</v>
      </c>
      <c r="M76" s="77">
        <f t="shared" si="2"/>
        <v>2970</v>
      </c>
      <c r="N76" s="81">
        <f t="shared" si="4"/>
        <v>5350</v>
      </c>
    </row>
    <row r="77" spans="2:14" x14ac:dyDescent="0.3">
      <c r="B77" s="70" t="s">
        <v>249</v>
      </c>
      <c r="C77" s="70" t="s">
        <v>197</v>
      </c>
      <c r="D77" s="79">
        <v>108</v>
      </c>
      <c r="E77" s="79">
        <v>80</v>
      </c>
      <c r="F77" s="79">
        <v>57</v>
      </c>
      <c r="G77" s="79">
        <v>45</v>
      </c>
      <c r="L77" s="71">
        <v>70</v>
      </c>
      <c r="M77" s="77">
        <f t="shared" si="2"/>
        <v>3010</v>
      </c>
      <c r="N77" s="81">
        <f t="shared" si="4"/>
        <v>5400</v>
      </c>
    </row>
    <row r="78" spans="2:14" x14ac:dyDescent="0.3">
      <c r="B78" s="70" t="s">
        <v>250</v>
      </c>
      <c r="C78" s="70" t="s">
        <v>197</v>
      </c>
      <c r="D78" s="79">
        <v>77</v>
      </c>
      <c r="E78" s="79">
        <v>57</v>
      </c>
      <c r="F78" s="79">
        <v>40</v>
      </c>
      <c r="G78" s="79">
        <v>32</v>
      </c>
      <c r="L78" s="71">
        <v>71</v>
      </c>
      <c r="M78" s="77">
        <f t="shared" si="2"/>
        <v>3050</v>
      </c>
      <c r="N78" s="81">
        <f t="shared" si="4"/>
        <v>5450</v>
      </c>
    </row>
    <row r="79" spans="2:14" x14ac:dyDescent="0.3">
      <c r="B79" s="70" t="s">
        <v>323</v>
      </c>
      <c r="C79" s="70" t="s">
        <v>197</v>
      </c>
      <c r="D79" s="79">
        <v>47</v>
      </c>
      <c r="E79" s="79">
        <v>33</v>
      </c>
      <c r="F79" s="79">
        <v>22</v>
      </c>
      <c r="G79" s="79">
        <v>17</v>
      </c>
      <c r="L79" s="71">
        <v>72</v>
      </c>
      <c r="M79" s="77">
        <f t="shared" si="2"/>
        <v>3090</v>
      </c>
      <c r="N79" s="81">
        <f t="shared" si="4"/>
        <v>5500</v>
      </c>
    </row>
    <row r="80" spans="2:14" x14ac:dyDescent="0.3">
      <c r="B80" s="70" t="s">
        <v>71</v>
      </c>
      <c r="C80" s="70" t="s">
        <v>197</v>
      </c>
      <c r="D80" s="79">
        <v>77</v>
      </c>
      <c r="E80" s="79">
        <v>57</v>
      </c>
      <c r="F80" s="79">
        <v>40</v>
      </c>
      <c r="G80" s="79">
        <v>32</v>
      </c>
      <c r="L80" s="71">
        <v>73</v>
      </c>
      <c r="M80" s="77">
        <f t="shared" si="2"/>
        <v>3130</v>
      </c>
      <c r="N80" s="81">
        <f t="shared" si="4"/>
        <v>5550</v>
      </c>
    </row>
    <row r="81" spans="2:14" x14ac:dyDescent="0.3">
      <c r="B81" s="70" t="s">
        <v>72</v>
      </c>
      <c r="C81" s="70" t="s">
        <v>197</v>
      </c>
      <c r="D81" s="79">
        <v>47</v>
      </c>
      <c r="E81" s="79">
        <v>33</v>
      </c>
      <c r="F81" s="79">
        <v>22</v>
      </c>
      <c r="G81" s="79">
        <v>17</v>
      </c>
      <c r="L81" s="71">
        <v>74</v>
      </c>
      <c r="M81" s="77">
        <f t="shared" si="2"/>
        <v>3170</v>
      </c>
      <c r="N81" s="81">
        <f t="shared" si="4"/>
        <v>5600</v>
      </c>
    </row>
    <row r="82" spans="2:14" x14ac:dyDescent="0.3">
      <c r="B82" s="70" t="s">
        <v>312</v>
      </c>
      <c r="C82" s="70" t="s">
        <v>197</v>
      </c>
      <c r="D82" s="79">
        <v>77</v>
      </c>
      <c r="E82" s="79">
        <v>57</v>
      </c>
      <c r="F82" s="79">
        <v>40</v>
      </c>
      <c r="G82" s="79">
        <v>32</v>
      </c>
      <c r="L82" s="71">
        <v>75</v>
      </c>
      <c r="M82" s="77">
        <f t="shared" si="2"/>
        <v>3210</v>
      </c>
      <c r="N82" s="81">
        <f t="shared" si="4"/>
        <v>5650</v>
      </c>
    </row>
    <row r="83" spans="2:14" x14ac:dyDescent="0.3">
      <c r="B83" s="70" t="s">
        <v>251</v>
      </c>
      <c r="C83" s="70" t="s">
        <v>197</v>
      </c>
      <c r="D83" s="79">
        <v>47</v>
      </c>
      <c r="E83" s="79">
        <v>33</v>
      </c>
      <c r="F83" s="79">
        <v>22</v>
      </c>
      <c r="G83" s="79">
        <v>17</v>
      </c>
      <c r="L83" s="71">
        <v>76</v>
      </c>
      <c r="M83" s="77">
        <f t="shared" si="2"/>
        <v>3250</v>
      </c>
      <c r="N83" s="81">
        <f t="shared" si="4"/>
        <v>5700</v>
      </c>
    </row>
    <row r="84" spans="2:14" x14ac:dyDescent="0.3">
      <c r="B84" s="70" t="s">
        <v>252</v>
      </c>
      <c r="C84" s="70" t="s">
        <v>197</v>
      </c>
      <c r="D84" s="79">
        <v>47</v>
      </c>
      <c r="E84" s="79">
        <v>33</v>
      </c>
      <c r="F84" s="79">
        <v>22</v>
      </c>
      <c r="G84" s="79">
        <v>17</v>
      </c>
      <c r="L84" s="71">
        <v>77</v>
      </c>
      <c r="M84" s="77">
        <f t="shared" si="2"/>
        <v>3290</v>
      </c>
      <c r="N84" s="81">
        <f t="shared" si="4"/>
        <v>5750</v>
      </c>
    </row>
    <row r="85" spans="2:14" x14ac:dyDescent="0.3">
      <c r="B85" s="70" t="s">
        <v>253</v>
      </c>
      <c r="C85" s="70" t="s">
        <v>197</v>
      </c>
      <c r="D85" s="79">
        <v>47</v>
      </c>
      <c r="E85" s="79">
        <v>33</v>
      </c>
      <c r="F85" s="79">
        <v>22</v>
      </c>
      <c r="G85" s="79">
        <v>17</v>
      </c>
      <c r="L85" s="71">
        <v>78</v>
      </c>
      <c r="M85" s="77">
        <f t="shared" si="2"/>
        <v>3330</v>
      </c>
      <c r="N85" s="81">
        <f t="shared" si="4"/>
        <v>5800</v>
      </c>
    </row>
    <row r="86" spans="2:14" x14ac:dyDescent="0.3">
      <c r="B86" s="70" t="s">
        <v>322</v>
      </c>
      <c r="C86" s="70" t="s">
        <v>197</v>
      </c>
      <c r="D86" s="79">
        <v>47</v>
      </c>
      <c r="E86" s="79">
        <v>33</v>
      </c>
      <c r="F86" s="79">
        <v>22</v>
      </c>
      <c r="G86" s="79">
        <v>17</v>
      </c>
      <c r="L86" s="71">
        <v>79</v>
      </c>
      <c r="M86" s="77">
        <f t="shared" si="2"/>
        <v>3370</v>
      </c>
      <c r="N86" s="81">
        <f t="shared" si="4"/>
        <v>5850</v>
      </c>
    </row>
    <row r="87" spans="2:14" x14ac:dyDescent="0.3">
      <c r="B87" s="70" t="s">
        <v>254</v>
      </c>
      <c r="C87" s="70" t="s">
        <v>197</v>
      </c>
      <c r="D87" s="79">
        <v>108</v>
      </c>
      <c r="E87" s="79">
        <v>80</v>
      </c>
      <c r="F87" s="79">
        <v>57</v>
      </c>
      <c r="G87" s="79">
        <v>45</v>
      </c>
      <c r="L87" s="71">
        <v>80</v>
      </c>
      <c r="M87" s="77">
        <f t="shared" ref="M87:M97" si="5">((L87-$L$21)*40)+770</f>
        <v>3410</v>
      </c>
      <c r="N87" s="81">
        <f t="shared" si="4"/>
        <v>5900</v>
      </c>
    </row>
    <row r="88" spans="2:14" x14ac:dyDescent="0.3">
      <c r="B88" s="70" t="s">
        <v>255</v>
      </c>
      <c r="C88" s="70" t="s">
        <v>197</v>
      </c>
      <c r="D88" s="79">
        <v>47</v>
      </c>
      <c r="E88" s="79">
        <v>33</v>
      </c>
      <c r="F88" s="79">
        <v>22</v>
      </c>
      <c r="G88" s="79">
        <v>17</v>
      </c>
      <c r="L88" s="71">
        <v>81</v>
      </c>
      <c r="M88" s="77">
        <f t="shared" si="5"/>
        <v>3450</v>
      </c>
      <c r="N88" s="81">
        <f t="shared" si="4"/>
        <v>5950</v>
      </c>
    </row>
    <row r="89" spans="2:14" x14ac:dyDescent="0.3">
      <c r="B89" s="70" t="s">
        <v>73</v>
      </c>
      <c r="C89" s="70" t="s">
        <v>197</v>
      </c>
      <c r="D89" s="79">
        <v>77</v>
      </c>
      <c r="E89" s="79">
        <v>57</v>
      </c>
      <c r="F89" s="79">
        <v>40</v>
      </c>
      <c r="G89" s="79">
        <v>32</v>
      </c>
      <c r="L89" s="71">
        <v>82</v>
      </c>
      <c r="M89" s="77">
        <f t="shared" si="5"/>
        <v>3490</v>
      </c>
      <c r="N89" s="81">
        <f t="shared" si="4"/>
        <v>6000</v>
      </c>
    </row>
    <row r="90" spans="2:14" x14ac:dyDescent="0.3">
      <c r="B90" s="70" t="s">
        <v>256</v>
      </c>
      <c r="C90" s="70" t="s">
        <v>197</v>
      </c>
      <c r="D90" s="79">
        <v>47</v>
      </c>
      <c r="E90" s="79">
        <v>33</v>
      </c>
      <c r="F90" s="79">
        <v>22</v>
      </c>
      <c r="G90" s="79">
        <v>17</v>
      </c>
      <c r="L90" s="71">
        <v>83</v>
      </c>
      <c r="M90" s="77">
        <f t="shared" si="5"/>
        <v>3530</v>
      </c>
      <c r="N90" s="81">
        <f t="shared" si="4"/>
        <v>6050</v>
      </c>
    </row>
    <row r="91" spans="2:14" x14ac:dyDescent="0.3">
      <c r="B91" s="70" t="s">
        <v>257</v>
      </c>
      <c r="C91" s="70" t="s">
        <v>197</v>
      </c>
      <c r="D91" s="79">
        <v>108</v>
      </c>
      <c r="E91" s="79">
        <v>80</v>
      </c>
      <c r="F91" s="79">
        <v>57</v>
      </c>
      <c r="G91" s="79">
        <v>45</v>
      </c>
      <c r="L91" s="71">
        <v>84</v>
      </c>
      <c r="M91" s="77">
        <f t="shared" si="5"/>
        <v>3570</v>
      </c>
      <c r="N91" s="81">
        <f t="shared" si="4"/>
        <v>6100</v>
      </c>
    </row>
    <row r="92" spans="2:14" x14ac:dyDescent="0.3">
      <c r="B92" s="70" t="s">
        <v>74</v>
      </c>
      <c r="C92" s="70" t="s">
        <v>197</v>
      </c>
      <c r="D92" s="79">
        <v>77</v>
      </c>
      <c r="E92" s="79">
        <v>57</v>
      </c>
      <c r="F92" s="79">
        <v>40</v>
      </c>
      <c r="G92" s="79">
        <v>32</v>
      </c>
      <c r="L92" s="71">
        <v>85</v>
      </c>
      <c r="M92" s="77">
        <f t="shared" si="5"/>
        <v>3610</v>
      </c>
      <c r="N92" s="81">
        <f t="shared" si="4"/>
        <v>6150</v>
      </c>
    </row>
    <row r="93" spans="2:14" x14ac:dyDescent="0.3">
      <c r="B93" s="70" t="s">
        <v>258</v>
      </c>
      <c r="C93" s="70" t="s">
        <v>197</v>
      </c>
      <c r="D93" s="79">
        <v>47</v>
      </c>
      <c r="E93" s="79">
        <v>33</v>
      </c>
      <c r="F93" s="79">
        <v>22</v>
      </c>
      <c r="G93" s="79">
        <v>17</v>
      </c>
      <c r="L93" s="71">
        <v>86</v>
      </c>
      <c r="M93" s="77">
        <f t="shared" si="5"/>
        <v>3650</v>
      </c>
      <c r="N93" s="81">
        <f t="shared" si="4"/>
        <v>6200</v>
      </c>
    </row>
    <row r="94" spans="2:14" x14ac:dyDescent="0.3">
      <c r="B94" s="70" t="s">
        <v>259</v>
      </c>
      <c r="C94" s="70" t="s">
        <v>197</v>
      </c>
      <c r="D94" s="79">
        <v>77</v>
      </c>
      <c r="E94" s="79">
        <v>57</v>
      </c>
      <c r="F94" s="79">
        <v>40</v>
      </c>
      <c r="G94" s="79">
        <v>32</v>
      </c>
      <c r="L94" s="71">
        <v>87</v>
      </c>
      <c r="M94" s="77">
        <f t="shared" si="5"/>
        <v>3690</v>
      </c>
      <c r="N94" s="81">
        <f t="shared" si="4"/>
        <v>6250</v>
      </c>
    </row>
    <row r="95" spans="2:14" x14ac:dyDescent="0.3">
      <c r="B95" s="70" t="s">
        <v>260</v>
      </c>
      <c r="C95" s="70" t="s">
        <v>197</v>
      </c>
      <c r="D95" s="79">
        <v>47</v>
      </c>
      <c r="E95" s="79">
        <v>33</v>
      </c>
      <c r="F95" s="79">
        <v>22</v>
      </c>
      <c r="G95" s="79">
        <v>17</v>
      </c>
      <c r="L95" s="71">
        <v>88</v>
      </c>
      <c r="M95" s="77">
        <f t="shared" si="5"/>
        <v>3730</v>
      </c>
      <c r="N95" s="81">
        <f t="shared" si="4"/>
        <v>6300</v>
      </c>
    </row>
    <row r="96" spans="2:14" x14ac:dyDescent="0.3">
      <c r="B96" s="70" t="s">
        <v>261</v>
      </c>
      <c r="C96" s="70" t="s">
        <v>197</v>
      </c>
      <c r="D96" s="79">
        <v>77</v>
      </c>
      <c r="E96" s="79">
        <v>57</v>
      </c>
      <c r="F96" s="79">
        <v>40</v>
      </c>
      <c r="G96" s="79">
        <v>32</v>
      </c>
      <c r="L96" s="71">
        <v>89</v>
      </c>
      <c r="M96" s="77">
        <f t="shared" si="5"/>
        <v>3770</v>
      </c>
      <c r="N96" s="81">
        <f t="shared" si="4"/>
        <v>6350</v>
      </c>
    </row>
    <row r="97" spans="2:14" x14ac:dyDescent="0.3">
      <c r="B97" s="70" t="s">
        <v>75</v>
      </c>
      <c r="C97" s="70" t="s">
        <v>197</v>
      </c>
      <c r="D97" s="79">
        <v>47</v>
      </c>
      <c r="E97" s="79">
        <v>33</v>
      </c>
      <c r="F97" s="79">
        <v>22</v>
      </c>
      <c r="G97" s="79">
        <v>17</v>
      </c>
      <c r="L97" s="71">
        <v>90</v>
      </c>
      <c r="M97" s="77">
        <f t="shared" si="5"/>
        <v>3810</v>
      </c>
      <c r="N97" s="81">
        <f t="shared" si="4"/>
        <v>6400</v>
      </c>
    </row>
    <row r="98" spans="2:14" x14ac:dyDescent="0.3">
      <c r="B98" s="70" t="s">
        <v>76</v>
      </c>
      <c r="C98" s="70" t="s">
        <v>197</v>
      </c>
      <c r="D98" s="79">
        <v>47</v>
      </c>
      <c r="E98" s="79">
        <v>33</v>
      </c>
      <c r="F98" s="79">
        <v>22</v>
      </c>
      <c r="G98" s="79">
        <v>17</v>
      </c>
    </row>
    <row r="99" spans="2:14" x14ac:dyDescent="0.3">
      <c r="B99" s="70" t="s">
        <v>77</v>
      </c>
      <c r="C99" s="70" t="s">
        <v>197</v>
      </c>
      <c r="D99" s="79">
        <v>47</v>
      </c>
      <c r="E99" s="79">
        <v>33</v>
      </c>
      <c r="F99" s="79">
        <v>22</v>
      </c>
      <c r="G99" s="79">
        <v>17</v>
      </c>
    </row>
    <row r="100" spans="2:14" x14ac:dyDescent="0.3">
      <c r="B100" s="70" t="s">
        <v>78</v>
      </c>
      <c r="C100" s="70" t="s">
        <v>197</v>
      </c>
      <c r="D100" s="79">
        <v>77</v>
      </c>
      <c r="E100" s="79">
        <v>57</v>
      </c>
      <c r="F100" s="79">
        <v>40</v>
      </c>
      <c r="G100" s="79">
        <v>32</v>
      </c>
    </row>
    <row r="101" spans="2:14" x14ac:dyDescent="0.3">
      <c r="B101" s="70" t="s">
        <v>79</v>
      </c>
      <c r="C101" s="70" t="s">
        <v>197</v>
      </c>
      <c r="D101" s="79">
        <v>77</v>
      </c>
      <c r="E101" s="79">
        <v>57</v>
      </c>
      <c r="F101" s="79">
        <v>40</v>
      </c>
      <c r="G101" s="79">
        <v>32</v>
      </c>
    </row>
    <row r="102" spans="2:14" x14ac:dyDescent="0.3">
      <c r="B102" s="70" t="s">
        <v>54</v>
      </c>
      <c r="C102" s="70" t="s">
        <v>197</v>
      </c>
      <c r="D102" s="79">
        <v>166</v>
      </c>
      <c r="E102" s="79">
        <v>132</v>
      </c>
      <c r="F102" s="79">
        <v>102</v>
      </c>
      <c r="G102" s="79">
        <v>92</v>
      </c>
    </row>
    <row r="103" spans="2:14" x14ac:dyDescent="0.3">
      <c r="B103" s="70" t="s">
        <v>262</v>
      </c>
      <c r="C103" s="70" t="s">
        <v>197</v>
      </c>
      <c r="D103" s="79">
        <v>108</v>
      </c>
      <c r="E103" s="79">
        <v>80</v>
      </c>
      <c r="F103" s="79">
        <v>57</v>
      </c>
      <c r="G103" s="79">
        <v>45</v>
      </c>
    </row>
    <row r="104" spans="2:14" x14ac:dyDescent="0.3">
      <c r="B104" s="70" t="s">
        <v>263</v>
      </c>
      <c r="C104" s="70" t="s">
        <v>197</v>
      </c>
      <c r="D104" s="79">
        <v>77</v>
      </c>
      <c r="E104" s="79">
        <v>57</v>
      </c>
      <c r="F104" s="79">
        <v>40</v>
      </c>
      <c r="G104" s="79">
        <v>32</v>
      </c>
    </row>
    <row r="105" spans="2:14" x14ac:dyDescent="0.3">
      <c r="B105" s="70" t="s">
        <v>80</v>
      </c>
      <c r="C105" s="70" t="s">
        <v>197</v>
      </c>
      <c r="D105" s="79">
        <v>77</v>
      </c>
      <c r="E105" s="79">
        <v>57</v>
      </c>
      <c r="F105" s="79">
        <v>40</v>
      </c>
      <c r="G105" s="79">
        <v>32</v>
      </c>
    </row>
    <row r="106" spans="2:14" x14ac:dyDescent="0.3">
      <c r="B106" s="70" t="s">
        <v>326</v>
      </c>
      <c r="C106" s="70" t="s">
        <v>197</v>
      </c>
      <c r="D106" s="79">
        <v>77</v>
      </c>
      <c r="E106" s="79">
        <v>57</v>
      </c>
      <c r="F106" s="79">
        <v>40</v>
      </c>
      <c r="G106" s="79">
        <v>32</v>
      </c>
    </row>
    <row r="107" spans="2:14" x14ac:dyDescent="0.3">
      <c r="B107" s="70" t="s">
        <v>264</v>
      </c>
      <c r="C107" s="70" t="s">
        <v>197</v>
      </c>
      <c r="D107" s="79">
        <v>77</v>
      </c>
      <c r="E107" s="79">
        <v>57</v>
      </c>
      <c r="F107" s="79">
        <v>40</v>
      </c>
      <c r="G107" s="79">
        <v>32</v>
      </c>
    </row>
    <row r="108" spans="2:14" x14ac:dyDescent="0.3">
      <c r="B108" s="70" t="s">
        <v>265</v>
      </c>
      <c r="C108" s="70" t="s">
        <v>197</v>
      </c>
      <c r="D108" s="79">
        <v>47</v>
      </c>
      <c r="E108" s="79">
        <v>33</v>
      </c>
      <c r="F108" s="79">
        <v>22</v>
      </c>
      <c r="G108" s="79">
        <v>17</v>
      </c>
    </row>
    <row r="109" spans="2:14" x14ac:dyDescent="0.3">
      <c r="B109" s="70" t="s">
        <v>168</v>
      </c>
      <c r="C109" s="70" t="s">
        <v>197</v>
      </c>
      <c r="D109" s="79">
        <v>108</v>
      </c>
      <c r="E109" s="79">
        <v>80</v>
      </c>
      <c r="F109" s="79">
        <v>57</v>
      </c>
      <c r="G109" s="79">
        <v>45</v>
      </c>
    </row>
    <row r="110" spans="2:14" x14ac:dyDescent="0.3">
      <c r="B110" s="70" t="s">
        <v>81</v>
      </c>
      <c r="C110" s="70" t="s">
        <v>197</v>
      </c>
      <c r="D110" s="79">
        <v>47</v>
      </c>
      <c r="E110" s="79">
        <v>33</v>
      </c>
      <c r="F110" s="79">
        <v>22</v>
      </c>
      <c r="G110" s="79">
        <v>17</v>
      </c>
    </row>
    <row r="111" spans="2:14" x14ac:dyDescent="0.3">
      <c r="B111" s="70" t="s">
        <v>82</v>
      </c>
      <c r="C111" s="70" t="s">
        <v>197</v>
      </c>
      <c r="D111" s="79">
        <v>47</v>
      </c>
      <c r="E111" s="79">
        <v>33</v>
      </c>
      <c r="F111" s="79">
        <v>22</v>
      </c>
      <c r="G111" s="79">
        <v>17</v>
      </c>
    </row>
    <row r="112" spans="2:14" x14ac:dyDescent="0.3">
      <c r="B112" s="70" t="s">
        <v>83</v>
      </c>
      <c r="C112" s="70" t="s">
        <v>197</v>
      </c>
      <c r="D112" s="79">
        <v>108</v>
      </c>
      <c r="E112" s="79">
        <v>80</v>
      </c>
      <c r="F112" s="79">
        <v>57</v>
      </c>
      <c r="G112" s="79">
        <v>45</v>
      </c>
    </row>
    <row r="113" spans="2:7" x14ac:dyDescent="0.3">
      <c r="B113" s="70" t="s">
        <v>266</v>
      </c>
      <c r="C113" s="70" t="s">
        <v>197</v>
      </c>
      <c r="D113" s="79">
        <v>47</v>
      </c>
      <c r="E113" s="79">
        <v>33</v>
      </c>
      <c r="F113" s="79">
        <v>22</v>
      </c>
      <c r="G113" s="79">
        <v>17</v>
      </c>
    </row>
    <row r="114" spans="2:7" x14ac:dyDescent="0.3">
      <c r="B114" s="70" t="s">
        <v>267</v>
      </c>
      <c r="C114" s="70" t="s">
        <v>197</v>
      </c>
      <c r="D114" s="79">
        <v>47</v>
      </c>
      <c r="E114" s="79">
        <v>33</v>
      </c>
      <c r="F114" s="79">
        <v>22</v>
      </c>
      <c r="G114" s="79">
        <v>17</v>
      </c>
    </row>
    <row r="115" spans="2:7" x14ac:dyDescent="0.3">
      <c r="B115" s="70" t="s">
        <v>84</v>
      </c>
      <c r="C115" s="70" t="s">
        <v>197</v>
      </c>
      <c r="D115" s="79">
        <v>108</v>
      </c>
      <c r="E115" s="79">
        <v>80</v>
      </c>
      <c r="F115" s="79">
        <v>57</v>
      </c>
      <c r="G115" s="79">
        <v>45</v>
      </c>
    </row>
    <row r="116" spans="2:7" x14ac:dyDescent="0.3">
      <c r="B116" s="70" t="s">
        <v>268</v>
      </c>
      <c r="C116" s="70" t="s">
        <v>197</v>
      </c>
      <c r="D116" s="79">
        <v>47</v>
      </c>
      <c r="E116" s="79">
        <v>33</v>
      </c>
      <c r="F116" s="79">
        <v>22</v>
      </c>
      <c r="G116" s="79">
        <v>17</v>
      </c>
    </row>
    <row r="117" spans="2:7" x14ac:dyDescent="0.3">
      <c r="B117" s="70" t="s">
        <v>269</v>
      </c>
      <c r="C117" s="70" t="s">
        <v>197</v>
      </c>
      <c r="D117" s="79">
        <v>47</v>
      </c>
      <c r="E117" s="79">
        <v>33</v>
      </c>
      <c r="F117" s="79">
        <v>22</v>
      </c>
      <c r="G117" s="79">
        <v>17</v>
      </c>
    </row>
    <row r="118" spans="2:7" x14ac:dyDescent="0.3">
      <c r="B118" s="70" t="s">
        <v>85</v>
      </c>
      <c r="C118" s="70" t="s">
        <v>197</v>
      </c>
      <c r="D118" s="79">
        <v>47</v>
      </c>
      <c r="E118" s="79">
        <v>33</v>
      </c>
      <c r="F118" s="79">
        <v>22</v>
      </c>
      <c r="G118" s="79">
        <v>17</v>
      </c>
    </row>
    <row r="119" spans="2:7" x14ac:dyDescent="0.3">
      <c r="B119" s="70" t="s">
        <v>86</v>
      </c>
      <c r="C119" s="70" t="s">
        <v>197</v>
      </c>
      <c r="D119" s="79">
        <v>47</v>
      </c>
      <c r="E119" s="79">
        <v>33</v>
      </c>
      <c r="F119" s="79">
        <v>22</v>
      </c>
      <c r="G119" s="79">
        <v>17</v>
      </c>
    </row>
    <row r="120" spans="2:7" x14ac:dyDescent="0.3">
      <c r="B120" s="70" t="s">
        <v>270</v>
      </c>
      <c r="C120" s="70" t="s">
        <v>197</v>
      </c>
      <c r="D120" s="79">
        <v>47</v>
      </c>
      <c r="E120" s="79">
        <v>33</v>
      </c>
      <c r="F120" s="79">
        <v>22</v>
      </c>
      <c r="G120" s="79">
        <v>17</v>
      </c>
    </row>
    <row r="121" spans="2:7" x14ac:dyDescent="0.3">
      <c r="B121" s="70" t="s">
        <v>271</v>
      </c>
      <c r="C121" s="70" t="s">
        <v>197</v>
      </c>
      <c r="D121" s="79">
        <v>47</v>
      </c>
      <c r="E121" s="79">
        <v>33</v>
      </c>
      <c r="F121" s="79">
        <v>22</v>
      </c>
      <c r="G121" s="79">
        <v>17</v>
      </c>
    </row>
    <row r="122" spans="2:7" x14ac:dyDescent="0.3">
      <c r="B122" s="70" t="s">
        <v>272</v>
      </c>
      <c r="C122" s="70" t="s">
        <v>197</v>
      </c>
      <c r="D122" s="79">
        <v>47</v>
      </c>
      <c r="E122" s="79">
        <v>33</v>
      </c>
      <c r="F122" s="79">
        <v>22</v>
      </c>
      <c r="G122" s="79">
        <v>17</v>
      </c>
    </row>
    <row r="123" spans="2:7" x14ac:dyDescent="0.3">
      <c r="B123" s="70" t="s">
        <v>273</v>
      </c>
      <c r="C123" s="70" t="s">
        <v>197</v>
      </c>
      <c r="D123" s="79">
        <v>47</v>
      </c>
      <c r="E123" s="79">
        <v>33</v>
      </c>
      <c r="F123" s="79">
        <v>22</v>
      </c>
      <c r="G123" s="79">
        <v>17</v>
      </c>
    </row>
    <row r="124" spans="2:7" x14ac:dyDescent="0.3">
      <c r="B124" s="70" t="s">
        <v>87</v>
      </c>
      <c r="C124" s="70" t="s">
        <v>197</v>
      </c>
      <c r="D124" s="79">
        <v>108</v>
      </c>
      <c r="E124" s="79">
        <v>80</v>
      </c>
      <c r="F124" s="79">
        <v>57</v>
      </c>
      <c r="G124" s="79">
        <v>45</v>
      </c>
    </row>
    <row r="125" spans="2:7" x14ac:dyDescent="0.3">
      <c r="B125" s="70" t="s">
        <v>328</v>
      </c>
      <c r="C125" s="70" t="s">
        <v>197</v>
      </c>
      <c r="D125" s="79">
        <v>77</v>
      </c>
      <c r="E125" s="79">
        <v>57</v>
      </c>
      <c r="F125" s="79">
        <v>40</v>
      </c>
      <c r="G125" s="79">
        <v>32</v>
      </c>
    </row>
    <row r="126" spans="2:7" x14ac:dyDescent="0.3">
      <c r="B126" s="70" t="s">
        <v>88</v>
      </c>
      <c r="C126" s="70" t="s">
        <v>197</v>
      </c>
      <c r="D126" s="79">
        <v>47</v>
      </c>
      <c r="E126" s="79">
        <v>33</v>
      </c>
      <c r="F126" s="79">
        <v>22</v>
      </c>
      <c r="G126" s="79">
        <v>17</v>
      </c>
    </row>
    <row r="127" spans="2:7" x14ac:dyDescent="0.3">
      <c r="B127" s="70" t="s">
        <v>89</v>
      </c>
      <c r="C127" s="70" t="s">
        <v>197</v>
      </c>
      <c r="D127" s="79">
        <v>47</v>
      </c>
      <c r="E127" s="79">
        <v>33</v>
      </c>
      <c r="F127" s="79">
        <v>22</v>
      </c>
      <c r="G127" s="79">
        <v>17</v>
      </c>
    </row>
    <row r="128" spans="2:7" x14ac:dyDescent="0.3">
      <c r="B128" s="70" t="s">
        <v>90</v>
      </c>
      <c r="C128" s="70" t="s">
        <v>197</v>
      </c>
      <c r="D128" s="79">
        <v>108</v>
      </c>
      <c r="E128" s="79">
        <v>80</v>
      </c>
      <c r="F128" s="79">
        <v>57</v>
      </c>
      <c r="G128" s="79">
        <v>45</v>
      </c>
    </row>
    <row r="129" spans="2:7" x14ac:dyDescent="0.3">
      <c r="B129" s="70" t="s">
        <v>91</v>
      </c>
      <c r="C129" s="70" t="s">
        <v>197</v>
      </c>
      <c r="D129" s="79">
        <v>77</v>
      </c>
      <c r="E129" s="79">
        <v>57</v>
      </c>
      <c r="F129" s="79">
        <v>40</v>
      </c>
      <c r="G129" s="79">
        <v>32</v>
      </c>
    </row>
    <row r="130" spans="2:7" x14ac:dyDescent="0.3">
      <c r="B130" s="70" t="s">
        <v>274</v>
      </c>
      <c r="C130" s="70" t="s">
        <v>197</v>
      </c>
      <c r="D130" s="79">
        <v>77</v>
      </c>
      <c r="E130" s="79">
        <v>57</v>
      </c>
      <c r="F130" s="79">
        <v>40</v>
      </c>
      <c r="G130" s="79">
        <v>32</v>
      </c>
    </row>
    <row r="131" spans="2:7" x14ac:dyDescent="0.3">
      <c r="B131" s="70" t="s">
        <v>275</v>
      </c>
      <c r="C131" s="70" t="s">
        <v>197</v>
      </c>
      <c r="D131" s="79">
        <v>47</v>
      </c>
      <c r="E131" s="79">
        <v>33</v>
      </c>
      <c r="F131" s="79">
        <v>22</v>
      </c>
      <c r="G131" s="79">
        <v>17</v>
      </c>
    </row>
    <row r="132" spans="2:7" x14ac:dyDescent="0.3">
      <c r="B132" s="70" t="s">
        <v>276</v>
      </c>
      <c r="C132" s="70" t="s">
        <v>197</v>
      </c>
      <c r="D132" s="79">
        <v>77</v>
      </c>
      <c r="E132" s="79">
        <v>57</v>
      </c>
      <c r="F132" s="79">
        <v>40</v>
      </c>
      <c r="G132" s="79">
        <v>32</v>
      </c>
    </row>
    <row r="133" spans="2:7" x14ac:dyDescent="0.3">
      <c r="B133" s="70" t="s">
        <v>277</v>
      </c>
      <c r="C133" s="70" t="s">
        <v>197</v>
      </c>
      <c r="D133" s="79">
        <v>47</v>
      </c>
      <c r="E133" s="79">
        <v>33</v>
      </c>
      <c r="F133" s="79">
        <v>22</v>
      </c>
      <c r="G133" s="79">
        <v>17</v>
      </c>
    </row>
    <row r="134" spans="2:7" x14ac:dyDescent="0.3">
      <c r="B134" s="70" t="s">
        <v>92</v>
      </c>
      <c r="C134" s="70" t="s">
        <v>197</v>
      </c>
      <c r="D134" s="79">
        <v>47</v>
      </c>
      <c r="E134" s="79">
        <v>33</v>
      </c>
      <c r="F134" s="79">
        <v>22</v>
      </c>
      <c r="G134" s="79">
        <v>17</v>
      </c>
    </row>
    <row r="135" spans="2:7" x14ac:dyDescent="0.3">
      <c r="B135" s="70" t="s">
        <v>93</v>
      </c>
      <c r="C135" s="70" t="s">
        <v>197</v>
      </c>
      <c r="D135" s="79">
        <v>47</v>
      </c>
      <c r="E135" s="79">
        <v>33</v>
      </c>
      <c r="F135" s="79">
        <v>22</v>
      </c>
      <c r="G135" s="79">
        <v>17</v>
      </c>
    </row>
    <row r="136" spans="2:7" x14ac:dyDescent="0.3">
      <c r="B136" s="70" t="s">
        <v>278</v>
      </c>
      <c r="C136" s="70" t="s">
        <v>197</v>
      </c>
      <c r="D136" s="79">
        <v>47</v>
      </c>
      <c r="E136" s="79">
        <v>33</v>
      </c>
      <c r="F136" s="79">
        <v>22</v>
      </c>
      <c r="G136" s="79">
        <v>17</v>
      </c>
    </row>
    <row r="137" spans="2:7" x14ac:dyDescent="0.3">
      <c r="B137" s="70" t="s">
        <v>279</v>
      </c>
      <c r="C137" s="70" t="s">
        <v>197</v>
      </c>
      <c r="D137" s="79">
        <v>108</v>
      </c>
      <c r="E137" s="79">
        <v>80</v>
      </c>
      <c r="F137" s="79">
        <v>57</v>
      </c>
      <c r="G137" s="79">
        <v>45</v>
      </c>
    </row>
    <row r="138" spans="2:7" x14ac:dyDescent="0.3">
      <c r="B138" s="70" t="s">
        <v>280</v>
      </c>
      <c r="C138" s="70" t="s">
        <v>197</v>
      </c>
      <c r="D138" s="79">
        <v>47</v>
      </c>
      <c r="E138" s="79">
        <v>33</v>
      </c>
      <c r="F138" s="79">
        <v>22</v>
      </c>
      <c r="G138" s="79">
        <v>17</v>
      </c>
    </row>
    <row r="139" spans="2:7" x14ac:dyDescent="0.3">
      <c r="B139" s="70" t="s">
        <v>94</v>
      </c>
      <c r="C139" s="70" t="s">
        <v>197</v>
      </c>
      <c r="D139" s="79">
        <v>47</v>
      </c>
      <c r="E139" s="79">
        <v>33</v>
      </c>
      <c r="F139" s="79">
        <v>22</v>
      </c>
      <c r="G139" s="79">
        <v>17</v>
      </c>
    </row>
    <row r="140" spans="2:7" x14ac:dyDescent="0.3">
      <c r="B140" s="70" t="s">
        <v>281</v>
      </c>
      <c r="C140" s="70" t="s">
        <v>197</v>
      </c>
      <c r="D140" s="79">
        <v>47</v>
      </c>
      <c r="E140" s="79">
        <v>33</v>
      </c>
      <c r="F140" s="79">
        <v>22</v>
      </c>
      <c r="G140" s="79">
        <v>17</v>
      </c>
    </row>
    <row r="141" spans="2:7" x14ac:dyDescent="0.3">
      <c r="B141" s="70" t="s">
        <v>167</v>
      </c>
      <c r="C141" s="70" t="s">
        <v>197</v>
      </c>
      <c r="D141" s="79">
        <v>77</v>
      </c>
      <c r="E141" s="79">
        <v>57</v>
      </c>
      <c r="F141" s="79">
        <v>40</v>
      </c>
      <c r="G141" s="79">
        <v>32</v>
      </c>
    </row>
    <row r="142" spans="2:7" x14ac:dyDescent="0.3">
      <c r="B142" s="70" t="s">
        <v>95</v>
      </c>
      <c r="C142" s="70" t="s">
        <v>197</v>
      </c>
      <c r="D142" s="79">
        <v>77</v>
      </c>
      <c r="E142" s="79">
        <v>57</v>
      </c>
      <c r="F142" s="79">
        <v>40</v>
      </c>
      <c r="G142" s="79">
        <v>32</v>
      </c>
    </row>
    <row r="143" spans="2:7" x14ac:dyDescent="0.3">
      <c r="B143" s="70" t="s">
        <v>282</v>
      </c>
      <c r="C143" s="70" t="s">
        <v>197</v>
      </c>
      <c r="D143" s="79">
        <v>77</v>
      </c>
      <c r="E143" s="79">
        <v>57</v>
      </c>
      <c r="F143" s="79">
        <v>40</v>
      </c>
      <c r="G143" s="79">
        <v>32</v>
      </c>
    </row>
    <row r="144" spans="2:7" x14ac:dyDescent="0.3">
      <c r="B144" s="70" t="s">
        <v>96</v>
      </c>
      <c r="C144" s="70" t="s">
        <v>197</v>
      </c>
      <c r="D144" s="79">
        <v>77</v>
      </c>
      <c r="E144" s="79">
        <v>57</v>
      </c>
      <c r="F144" s="79">
        <v>40</v>
      </c>
      <c r="G144" s="79">
        <v>32</v>
      </c>
    </row>
    <row r="145" spans="2:7" x14ac:dyDescent="0.3">
      <c r="B145" s="70" t="s">
        <v>135</v>
      </c>
      <c r="C145" s="70" t="s">
        <v>197</v>
      </c>
      <c r="D145" s="79">
        <v>108</v>
      </c>
      <c r="E145" s="79">
        <v>80</v>
      </c>
      <c r="F145" s="79">
        <v>57</v>
      </c>
      <c r="G145" s="79">
        <v>45</v>
      </c>
    </row>
    <row r="146" spans="2:7" x14ac:dyDescent="0.3">
      <c r="B146" s="70" t="s">
        <v>97</v>
      </c>
      <c r="C146" s="70" t="s">
        <v>197</v>
      </c>
      <c r="D146" s="79">
        <v>47</v>
      </c>
      <c r="E146" s="79">
        <v>33</v>
      </c>
      <c r="F146" s="79">
        <v>22</v>
      </c>
      <c r="G146" s="79">
        <v>17</v>
      </c>
    </row>
    <row r="147" spans="2:7" x14ac:dyDescent="0.3">
      <c r="B147" s="70" t="s">
        <v>181</v>
      </c>
      <c r="C147" s="70" t="s">
        <v>197</v>
      </c>
      <c r="D147" s="79">
        <v>77</v>
      </c>
      <c r="E147" s="79">
        <v>57</v>
      </c>
      <c r="F147" s="79">
        <v>40</v>
      </c>
      <c r="G147" s="79">
        <v>32</v>
      </c>
    </row>
    <row r="148" spans="2:7" x14ac:dyDescent="0.3">
      <c r="B148" s="70" t="s">
        <v>283</v>
      </c>
      <c r="C148" s="70" t="s">
        <v>197</v>
      </c>
      <c r="D148" s="79">
        <v>47</v>
      </c>
      <c r="E148" s="79">
        <v>33</v>
      </c>
      <c r="F148" s="79">
        <v>22</v>
      </c>
      <c r="G148" s="79">
        <v>17</v>
      </c>
    </row>
    <row r="149" spans="2:7" x14ac:dyDescent="0.3">
      <c r="B149" s="70" t="s">
        <v>284</v>
      </c>
      <c r="C149" s="70" t="s">
        <v>197</v>
      </c>
      <c r="D149" s="79">
        <v>108</v>
      </c>
      <c r="E149" s="79">
        <v>80</v>
      </c>
      <c r="F149" s="79">
        <v>57</v>
      </c>
      <c r="G149" s="79">
        <v>45</v>
      </c>
    </row>
    <row r="150" spans="2:7" x14ac:dyDescent="0.3">
      <c r="B150" s="70" t="s">
        <v>319</v>
      </c>
      <c r="C150" s="70" t="s">
        <v>197</v>
      </c>
      <c r="D150" s="79">
        <v>108</v>
      </c>
      <c r="E150" s="79">
        <v>80</v>
      </c>
      <c r="F150" s="79">
        <v>57</v>
      </c>
      <c r="G150" s="79">
        <v>45</v>
      </c>
    </row>
    <row r="151" spans="2:7" x14ac:dyDescent="0.3">
      <c r="B151" s="70" t="s">
        <v>285</v>
      </c>
      <c r="C151" s="70" t="s">
        <v>197</v>
      </c>
      <c r="D151" s="79">
        <v>108</v>
      </c>
      <c r="E151" s="79">
        <v>80</v>
      </c>
      <c r="F151" s="79">
        <v>57</v>
      </c>
      <c r="G151" s="79">
        <v>45</v>
      </c>
    </row>
    <row r="152" spans="2:7" x14ac:dyDescent="0.3">
      <c r="B152" s="70" t="s">
        <v>286</v>
      </c>
      <c r="C152" s="70" t="s">
        <v>197</v>
      </c>
      <c r="D152" s="79">
        <v>47</v>
      </c>
      <c r="E152" s="79">
        <v>33</v>
      </c>
      <c r="F152" s="79">
        <v>22</v>
      </c>
      <c r="G152" s="79">
        <v>17</v>
      </c>
    </row>
    <row r="153" spans="2:7" x14ac:dyDescent="0.3">
      <c r="B153" s="70" t="s">
        <v>287</v>
      </c>
      <c r="C153" s="70" t="s">
        <v>197</v>
      </c>
      <c r="D153" s="79">
        <v>108</v>
      </c>
      <c r="E153" s="79">
        <v>80</v>
      </c>
      <c r="F153" s="79">
        <v>57</v>
      </c>
      <c r="G153" s="79">
        <v>45</v>
      </c>
    </row>
    <row r="154" spans="2:7" x14ac:dyDescent="0.3">
      <c r="B154" s="70" t="s">
        <v>288</v>
      </c>
      <c r="C154" s="70" t="s">
        <v>197</v>
      </c>
      <c r="D154" s="79">
        <v>77</v>
      </c>
      <c r="E154" s="79">
        <v>57</v>
      </c>
      <c r="F154" s="79">
        <v>40</v>
      </c>
      <c r="G154" s="79">
        <v>32</v>
      </c>
    </row>
    <row r="155" spans="2:7" x14ac:dyDescent="0.3">
      <c r="B155" s="70" t="s">
        <v>289</v>
      </c>
      <c r="C155" s="70" t="s">
        <v>197</v>
      </c>
      <c r="D155" s="79">
        <v>108</v>
      </c>
      <c r="E155" s="79">
        <v>80</v>
      </c>
      <c r="F155" s="79">
        <v>57</v>
      </c>
      <c r="G155" s="79">
        <v>45</v>
      </c>
    </row>
    <row r="156" spans="2:7" x14ac:dyDescent="0.3">
      <c r="B156" s="70" t="s">
        <v>290</v>
      </c>
      <c r="C156" s="70" t="s">
        <v>197</v>
      </c>
      <c r="D156" s="79">
        <v>47</v>
      </c>
      <c r="E156" s="79">
        <v>33</v>
      </c>
      <c r="F156" s="79">
        <v>22</v>
      </c>
      <c r="G156" s="79">
        <v>17</v>
      </c>
    </row>
    <row r="157" spans="2:7" x14ac:dyDescent="0.3">
      <c r="B157" s="70" t="s">
        <v>324</v>
      </c>
      <c r="C157" s="70" t="s">
        <v>197</v>
      </c>
      <c r="D157" s="79">
        <v>47</v>
      </c>
      <c r="E157" s="79">
        <v>33</v>
      </c>
      <c r="F157" s="79">
        <v>22</v>
      </c>
      <c r="G157" s="79">
        <v>17</v>
      </c>
    </row>
    <row r="158" spans="2:7" x14ac:dyDescent="0.3">
      <c r="B158" s="70" t="s">
        <v>291</v>
      </c>
      <c r="C158" s="70" t="s">
        <v>197</v>
      </c>
      <c r="D158" s="79">
        <v>47</v>
      </c>
      <c r="E158" s="79">
        <v>33</v>
      </c>
      <c r="F158" s="79">
        <v>22</v>
      </c>
      <c r="G158" s="79">
        <v>17</v>
      </c>
    </row>
    <row r="159" spans="2:7" x14ac:dyDescent="0.3">
      <c r="B159" s="70" t="s">
        <v>99</v>
      </c>
      <c r="C159" s="70" t="s">
        <v>197</v>
      </c>
      <c r="D159" s="79">
        <v>77</v>
      </c>
      <c r="E159" s="79">
        <v>57</v>
      </c>
      <c r="F159" s="79">
        <v>40</v>
      </c>
      <c r="G159" s="79">
        <v>32</v>
      </c>
    </row>
    <row r="160" spans="2:7" x14ac:dyDescent="0.3">
      <c r="B160" s="70" t="s">
        <v>292</v>
      </c>
      <c r="C160" s="70" t="s">
        <v>197</v>
      </c>
      <c r="D160" s="79">
        <v>47</v>
      </c>
      <c r="E160" s="79">
        <v>33</v>
      </c>
      <c r="F160" s="79">
        <v>22</v>
      </c>
      <c r="G160" s="79">
        <v>17</v>
      </c>
    </row>
    <row r="161" spans="2:7" x14ac:dyDescent="0.3">
      <c r="B161" s="70" t="s">
        <v>311</v>
      </c>
      <c r="C161" s="70" t="s">
        <v>197</v>
      </c>
      <c r="D161" s="79">
        <v>47</v>
      </c>
      <c r="E161" s="79">
        <v>33</v>
      </c>
      <c r="F161" s="79">
        <v>22</v>
      </c>
      <c r="G161" s="79">
        <v>17</v>
      </c>
    </row>
    <row r="162" spans="2:7" x14ac:dyDescent="0.3">
      <c r="B162" s="70" t="s">
        <v>293</v>
      </c>
      <c r="C162" s="70" t="s">
        <v>197</v>
      </c>
      <c r="D162" s="79">
        <v>47</v>
      </c>
      <c r="E162" s="79">
        <v>33</v>
      </c>
      <c r="F162" s="79">
        <v>22</v>
      </c>
      <c r="G162" s="79">
        <v>17</v>
      </c>
    </row>
    <row r="163" spans="2:7" x14ac:dyDescent="0.3">
      <c r="B163" s="70" t="s">
        <v>325</v>
      </c>
      <c r="C163" s="70" t="s">
        <v>197</v>
      </c>
      <c r="D163" s="79">
        <v>77</v>
      </c>
      <c r="E163" s="79">
        <v>57</v>
      </c>
      <c r="F163" s="79">
        <v>40</v>
      </c>
      <c r="G163" s="79">
        <v>32</v>
      </c>
    </row>
    <row r="164" spans="2:7" x14ac:dyDescent="0.3">
      <c r="B164" s="70" t="s">
        <v>294</v>
      </c>
      <c r="C164" s="70" t="s">
        <v>197</v>
      </c>
      <c r="D164" s="79">
        <v>77</v>
      </c>
      <c r="E164" s="79">
        <v>57</v>
      </c>
      <c r="F164" s="79">
        <v>40</v>
      </c>
      <c r="G164" s="79">
        <v>32</v>
      </c>
    </row>
    <row r="165" spans="2:7" x14ac:dyDescent="0.3">
      <c r="B165" s="70" t="s">
        <v>100</v>
      </c>
      <c r="C165" s="70" t="s">
        <v>197</v>
      </c>
      <c r="D165" s="79">
        <v>47</v>
      </c>
      <c r="E165" s="79">
        <v>33</v>
      </c>
      <c r="F165" s="79">
        <v>22</v>
      </c>
      <c r="G165" s="79">
        <v>17</v>
      </c>
    </row>
    <row r="166" spans="2:7" x14ac:dyDescent="0.3">
      <c r="B166" s="70" t="s">
        <v>101</v>
      </c>
      <c r="C166" s="70" t="s">
        <v>197</v>
      </c>
      <c r="D166" s="79">
        <v>47</v>
      </c>
      <c r="E166" s="79">
        <v>33</v>
      </c>
      <c r="F166" s="79">
        <v>22</v>
      </c>
      <c r="G166" s="79">
        <v>17</v>
      </c>
    </row>
    <row r="167" spans="2:7" x14ac:dyDescent="0.3">
      <c r="B167" s="70" t="s">
        <v>295</v>
      </c>
      <c r="C167" s="70" t="s">
        <v>197</v>
      </c>
      <c r="D167" s="79">
        <v>47</v>
      </c>
      <c r="E167" s="79">
        <v>33</v>
      </c>
      <c r="F167" s="79">
        <v>22</v>
      </c>
      <c r="G167" s="79">
        <v>17</v>
      </c>
    </row>
    <row r="168" spans="2:7" x14ac:dyDescent="0.3">
      <c r="B168" s="70" t="s">
        <v>102</v>
      </c>
      <c r="C168" s="70" t="s">
        <v>197</v>
      </c>
      <c r="D168" s="79">
        <v>108</v>
      </c>
      <c r="E168" s="79">
        <v>80</v>
      </c>
      <c r="F168" s="79">
        <v>57</v>
      </c>
      <c r="G168" s="79">
        <v>45</v>
      </c>
    </row>
    <row r="169" spans="2:7" x14ac:dyDescent="0.3">
      <c r="B169" s="70" t="s">
        <v>329</v>
      </c>
      <c r="C169" s="70" t="s">
        <v>197</v>
      </c>
      <c r="D169" s="79">
        <v>47</v>
      </c>
      <c r="E169" s="79">
        <v>33</v>
      </c>
      <c r="F169" s="79">
        <v>22</v>
      </c>
      <c r="G169" s="79">
        <v>17</v>
      </c>
    </row>
    <row r="170" spans="2:7" x14ac:dyDescent="0.3">
      <c r="B170" s="70" t="s">
        <v>296</v>
      </c>
      <c r="C170" s="70" t="s">
        <v>197</v>
      </c>
      <c r="D170" s="79">
        <v>47</v>
      </c>
      <c r="E170" s="79">
        <v>33</v>
      </c>
      <c r="F170" s="79">
        <v>22</v>
      </c>
      <c r="G170" s="79">
        <v>17</v>
      </c>
    </row>
    <row r="171" spans="2:7" x14ac:dyDescent="0.3">
      <c r="B171" s="70" t="s">
        <v>297</v>
      </c>
      <c r="C171" s="70" t="s">
        <v>197</v>
      </c>
      <c r="D171" s="79">
        <v>47</v>
      </c>
      <c r="E171" s="79">
        <v>33</v>
      </c>
      <c r="F171" s="79">
        <v>22</v>
      </c>
      <c r="G171" s="79">
        <v>17</v>
      </c>
    </row>
    <row r="172" spans="2:7" x14ac:dyDescent="0.3">
      <c r="B172" s="70" t="s">
        <v>298</v>
      </c>
      <c r="C172" s="70" t="s">
        <v>197</v>
      </c>
      <c r="D172" s="79">
        <v>77</v>
      </c>
      <c r="E172" s="79">
        <v>57</v>
      </c>
      <c r="F172" s="79">
        <v>40</v>
      </c>
      <c r="G172" s="79">
        <v>32</v>
      </c>
    </row>
    <row r="173" spans="2:7" x14ac:dyDescent="0.3">
      <c r="B173" s="70" t="s">
        <v>103</v>
      </c>
      <c r="C173" s="70" t="s">
        <v>197</v>
      </c>
      <c r="D173" s="79">
        <v>47</v>
      </c>
      <c r="E173" s="79">
        <v>33</v>
      </c>
      <c r="F173" s="79">
        <v>22</v>
      </c>
      <c r="G173" s="79">
        <v>17</v>
      </c>
    </row>
    <row r="174" spans="2:7" x14ac:dyDescent="0.3">
      <c r="B174" s="70" t="s">
        <v>104</v>
      </c>
      <c r="C174" s="70" t="s">
        <v>197</v>
      </c>
      <c r="D174" s="79">
        <v>47</v>
      </c>
      <c r="E174" s="79">
        <v>33</v>
      </c>
      <c r="F174" s="79">
        <v>22</v>
      </c>
      <c r="G174" s="79">
        <v>17</v>
      </c>
    </row>
    <row r="175" spans="2:7" x14ac:dyDescent="0.3">
      <c r="B175" s="70" t="s">
        <v>299</v>
      </c>
      <c r="C175" s="70" t="s">
        <v>197</v>
      </c>
      <c r="D175" s="79">
        <v>47</v>
      </c>
      <c r="E175" s="79">
        <v>33</v>
      </c>
      <c r="F175" s="79">
        <v>22</v>
      </c>
      <c r="G175" s="79">
        <v>17</v>
      </c>
    </row>
    <row r="176" spans="2:7" x14ac:dyDescent="0.3">
      <c r="B176" s="70" t="s">
        <v>300</v>
      </c>
      <c r="C176" s="70" t="s">
        <v>197</v>
      </c>
      <c r="D176" s="79">
        <v>47</v>
      </c>
      <c r="E176" s="79">
        <v>33</v>
      </c>
      <c r="F176" s="79">
        <v>22</v>
      </c>
      <c r="G176" s="79">
        <v>17</v>
      </c>
    </row>
    <row r="177" spans="2:7" x14ac:dyDescent="0.3">
      <c r="B177" s="70" t="s">
        <v>180</v>
      </c>
      <c r="C177" s="70" t="s">
        <v>197</v>
      </c>
      <c r="D177" s="79">
        <v>108</v>
      </c>
      <c r="E177" s="79">
        <v>80</v>
      </c>
      <c r="F177" s="79">
        <v>57</v>
      </c>
      <c r="G177" s="79">
        <v>45</v>
      </c>
    </row>
    <row r="178" spans="2:7" x14ac:dyDescent="0.3">
      <c r="B178" s="70" t="s">
        <v>105</v>
      </c>
      <c r="C178" s="70" t="s">
        <v>197</v>
      </c>
      <c r="D178" s="79">
        <v>47</v>
      </c>
      <c r="E178" s="79">
        <v>33</v>
      </c>
      <c r="F178" s="79">
        <v>22</v>
      </c>
      <c r="G178" s="79">
        <v>17</v>
      </c>
    </row>
    <row r="179" spans="2:7" x14ac:dyDescent="0.3">
      <c r="B179" s="70" t="s">
        <v>301</v>
      </c>
      <c r="C179" s="70" t="s">
        <v>197</v>
      </c>
      <c r="D179" s="79">
        <v>77</v>
      </c>
      <c r="E179" s="79">
        <v>57</v>
      </c>
      <c r="F179" s="79">
        <v>40</v>
      </c>
      <c r="G179" s="79">
        <v>32</v>
      </c>
    </row>
    <row r="180" spans="2:7" x14ac:dyDescent="0.3">
      <c r="B180" s="70" t="s">
        <v>106</v>
      </c>
      <c r="C180" s="70" t="s">
        <v>197</v>
      </c>
      <c r="D180" s="79">
        <v>108</v>
      </c>
      <c r="E180" s="79">
        <v>80</v>
      </c>
      <c r="F180" s="79">
        <v>57</v>
      </c>
      <c r="G180" s="79">
        <v>45</v>
      </c>
    </row>
    <row r="181" spans="2:7" x14ac:dyDescent="0.3">
      <c r="B181" s="70" t="s">
        <v>107</v>
      </c>
      <c r="C181" s="70" t="s">
        <v>197</v>
      </c>
      <c r="D181" s="79">
        <v>47</v>
      </c>
      <c r="E181" s="79">
        <v>33</v>
      </c>
      <c r="F181" s="79">
        <v>22</v>
      </c>
      <c r="G181" s="79">
        <v>17</v>
      </c>
    </row>
    <row r="182" spans="2:7" x14ac:dyDescent="0.3">
      <c r="B182" s="70" t="s">
        <v>108</v>
      </c>
      <c r="C182" s="70" t="s">
        <v>197</v>
      </c>
      <c r="D182" s="79">
        <v>47</v>
      </c>
      <c r="E182" s="79">
        <v>33</v>
      </c>
      <c r="F182" s="79">
        <v>22</v>
      </c>
      <c r="G182" s="79">
        <v>17</v>
      </c>
    </row>
    <row r="183" spans="2:7" x14ac:dyDescent="0.3">
      <c r="B183" s="70" t="s">
        <v>302</v>
      </c>
      <c r="C183" s="70" t="s">
        <v>197</v>
      </c>
      <c r="D183" s="79">
        <v>108</v>
      </c>
      <c r="E183" s="79">
        <v>80</v>
      </c>
      <c r="F183" s="79">
        <v>57</v>
      </c>
      <c r="G183" s="79">
        <v>45</v>
      </c>
    </row>
    <row r="184" spans="2:7" x14ac:dyDescent="0.3">
      <c r="B184" s="70" t="s">
        <v>303</v>
      </c>
      <c r="C184" s="70" t="s">
        <v>197</v>
      </c>
      <c r="D184" s="79">
        <v>108</v>
      </c>
      <c r="E184" s="79">
        <v>80</v>
      </c>
      <c r="F184" s="79">
        <v>57</v>
      </c>
      <c r="G184" s="79">
        <v>45</v>
      </c>
    </row>
  </sheetData>
  <sheetProtection password="E359" sheet="1" objects="1" scenarios="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hyperlink ref="C3" r:id="rId2"/>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2.xml><?xml version="1.0" encoding="utf-8"?>
<ds:datastoreItem xmlns:ds="http://schemas.openxmlformats.org/officeDocument/2006/customXml" ds:itemID="{B5FB2861-ECA0-4B0A-9CC6-B62988A7DC03}">
  <ds:schemaRefs>
    <ds:schemaRef ds:uri="http://schemas.openxmlformats.org/package/2006/metadata/core-properties"/>
    <ds:schemaRef ds:uri="http://schemas.microsoft.com/office/2006/metadata/properties"/>
    <ds:schemaRef ds:uri="http://www.w3.org/XML/1998/namespace"/>
    <ds:schemaRef ds:uri="http://schemas.microsoft.com/office/infopath/2007/PartnerControls"/>
    <ds:schemaRef ds:uri="http://schemas.microsoft.com/office/2006/documentManagement/types"/>
    <ds:schemaRef ds:uri="http://purl.org/dc/terms/"/>
    <ds:schemaRef ds:uri="http://purl.org/dc/dcmitype/"/>
    <ds:schemaRef ds:uri="http://purl.org/dc/elements/1.1/"/>
  </ds:schemaRefs>
</ds:datastoreItem>
</file>

<file path=customXml/itemProps3.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 2-3-6. Travel&amp;Costs of Stay'!Impression_des_titres</vt:lpstr>
      <vt:lpstr>'4. Equipment Costs'!Impression_des_titres</vt:lpstr>
      <vt:lpstr>'5. Subcontracting Costs'!Impression_des_titres</vt:lpstr>
      <vt:lpstr>'Breakdown &amp; Project Funding'!Impression_des_titres</vt:lpstr>
      <vt:lpstr>'Co-financing'!Impression_des_titres</vt:lpstr>
      <vt:lpstr>PartnerN°</vt:lpstr>
      <vt:lpstr>PartnerN°Ref</vt:lpstr>
      <vt:lpstr>Rates</vt:lpstr>
      <vt:lpstr>TravelBands</vt:lpstr>
      <vt:lpstr>TravelCosts</vt:lpstr>
      <vt:lpstr>WorkPackage</vt:lpstr>
      <vt:lpstr>' 2-3-6. Travel&amp;Costs of Stay'!Zone_d_impression</vt:lpstr>
      <vt:lpstr>'1. Staff costs'!Zone_d_impression</vt:lpstr>
      <vt:lpstr>'4. Equipment Costs'!Zone_d_impression</vt:lpstr>
      <vt:lpstr>'5. Subcontracting Costs'!Zone_d_impression</vt:lpstr>
      <vt:lpstr>'Breakdown &amp; Project Funding'!Zone_d_impression</vt:lpstr>
      <vt:lpstr>'Co-financing'!Zone_d_impression</vt:lpstr>
      <vt:lpstr>Overview!Zone_d_impression</vt:lpstr>
      <vt:lpstr>'Sheet Validation'!Zone_d_impression</vt:lpstr>
      <vt:lpstr>'Unit Costs &amp; Funding Rule'!Zone_d_impression</vt:lpstr>
    </vt:vector>
  </TitlesOfParts>
  <Company>European Commission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Cecile Derbois</cp:lastModifiedBy>
  <cp:lastPrinted>2017-11-10T08:43:50Z</cp:lastPrinted>
  <dcterms:created xsi:type="dcterms:W3CDTF">2013-09-27T15:40:24Z</dcterms:created>
  <dcterms:modified xsi:type="dcterms:W3CDTF">2019-02-05T13:03:20Z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